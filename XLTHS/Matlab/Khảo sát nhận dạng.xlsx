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LEARNING\MATLAB\"/>
    </mc:Choice>
  </mc:AlternateContent>
  <xr:revisionPtr revIDLastSave="0" documentId="8_{CAE1635C-04EC-42A8-AE71-3FC9D855D2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1" i="1" l="1"/>
  <c r="AM32" i="1"/>
  <c r="AM34" i="1"/>
  <c r="AM35" i="1"/>
  <c r="AM36" i="1"/>
  <c r="AM33" i="1"/>
  <c r="AN20" i="1"/>
  <c r="AN21" i="1"/>
  <c r="AN22" i="1"/>
  <c r="AN23" i="1"/>
  <c r="AL19" i="1"/>
  <c r="AN19" i="1" s="1"/>
  <c r="AN24" i="1" s="1"/>
  <c r="AN32" i="1"/>
  <c r="AN36" i="1"/>
  <c r="AN35" i="1"/>
  <c r="AN34" i="1"/>
  <c r="AN33" i="1"/>
  <c r="AN37" i="1" s="1"/>
  <c r="AN7" i="1"/>
  <c r="AN8" i="1"/>
  <c r="AN9" i="1"/>
  <c r="AN10" i="1"/>
  <c r="AN6" i="1"/>
</calcChain>
</file>

<file path=xl/sharedStrings.xml><?xml version="1.0" encoding="utf-8"?>
<sst xmlns="http://schemas.openxmlformats.org/spreadsheetml/2006/main" count="78" uniqueCount="19">
  <si>
    <t>Frame_shift</t>
  </si>
  <si>
    <t xml:space="preserve">                Frame_D
Frame_size              </t>
  </si>
  <si>
    <t>Độ chính xác</t>
  </si>
  <si>
    <t>Số chiều vecto đặc trưng</t>
  </si>
  <si>
    <t>/a/</t>
  </si>
  <si>
    <t>/e/</t>
  </si>
  <si>
    <t>/i/</t>
  </si>
  <si>
    <t>/o/</t>
  </si>
  <si>
    <t>/u/</t>
  </si>
  <si>
    <t>Nhãn dự đoán</t>
  </si>
  <si>
    <t>Nhãn
 đúng</t>
  </si>
  <si>
    <t>Kết quả dự đoán</t>
  </si>
  <si>
    <t xml:space="preserve">Đúng </t>
  </si>
  <si>
    <t>Sai</t>
  </si>
  <si>
    <t>N_FFT = 512</t>
  </si>
  <si>
    <t>N_FFT = 1024</t>
  </si>
  <si>
    <t>N_FFT = 2048</t>
  </si>
  <si>
    <t>Trung bình</t>
  </si>
  <si>
    <t>Chọn độ lệch dịch khung = -1, chiều dài khung =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</si>
</sst>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9CB9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0" xfId="0" applyFont="1" applyAlignment="1">
      <alignment wrapText="1"/>
    </xf>
    <xf numFmtId="0" fontId="1" fillId="3" borderId="2" xfId="0" applyFont="1" applyFill="1" applyBorder="1" applyAlignment="1">
      <alignment wrapText="1"/>
    </xf>
    <xf numFmtId="0" fontId="1" fillId="3" borderId="0" xfId="0" applyFont="1" applyFill="1" applyAlignment="1">
      <alignment wrapText="1"/>
    </xf>
    <xf numFmtId="2" fontId="2" fillId="0" borderId="1" xfId="0" applyNumberFormat="1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2" fontId="3" fillId="4" borderId="1" xfId="0" applyNumberFormat="1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5" borderId="7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2" xfId="0" applyBorder="1"/>
    <xf numFmtId="0" fontId="0" fillId="0" borderId="0" xfId="0" applyBorder="1"/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6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O38"/>
  <sheetViews>
    <sheetView tabSelected="1" topLeftCell="S1" zoomScale="85" zoomScaleNormal="85" workbookViewId="0">
      <selection activeCell="AD30" sqref="AD30:AH30"/>
    </sheetView>
  </sheetViews>
  <sheetFormatPr defaultRowHeight="14.4" x14ac:dyDescent="0.3"/>
  <cols>
    <col min="1" max="1" width="12.109375" customWidth="1"/>
    <col min="2" max="2" width="18.5546875" customWidth="1"/>
    <col min="4" max="4" width="9.5546875" bestFit="1" customWidth="1"/>
    <col min="7" max="7" width="16.6640625" customWidth="1"/>
    <col min="8" max="8" width="8.88671875" customWidth="1"/>
    <col min="12" max="12" width="18.5546875" customWidth="1"/>
    <col min="13" max="14" width="9.5546875" bestFit="1" customWidth="1"/>
    <col min="17" max="17" width="17.88671875" customWidth="1"/>
    <col min="22" max="22" width="17.77734375" customWidth="1"/>
    <col min="39" max="39" width="11.33203125" bestFit="1" customWidth="1"/>
    <col min="40" max="40" width="12" bestFit="1" customWidth="1"/>
  </cols>
  <sheetData>
    <row r="2" spans="1:41" x14ac:dyDescent="0.3">
      <c r="AB2" s="32" t="s">
        <v>14</v>
      </c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4"/>
    </row>
    <row r="3" spans="1:41" x14ac:dyDescent="0.3">
      <c r="AB3" s="35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7"/>
      <c r="AO3" s="15"/>
    </row>
    <row r="4" spans="1:41" x14ac:dyDescent="0.3">
      <c r="A4" s="6" t="s">
        <v>0</v>
      </c>
      <c r="B4" s="18">
        <v>-2</v>
      </c>
      <c r="C4" s="18"/>
      <c r="D4" s="18"/>
      <c r="E4" s="18"/>
      <c r="F4" s="4"/>
      <c r="G4" s="18">
        <v>-1</v>
      </c>
      <c r="H4" s="18"/>
      <c r="I4" s="18"/>
      <c r="J4" s="18"/>
      <c r="K4" s="8"/>
      <c r="L4" s="18">
        <v>0</v>
      </c>
      <c r="M4" s="18"/>
      <c r="N4" s="18"/>
      <c r="O4" s="18"/>
      <c r="P4" s="9"/>
      <c r="Q4" s="18">
        <v>1</v>
      </c>
      <c r="R4" s="18"/>
      <c r="S4" s="18"/>
      <c r="T4" s="18"/>
      <c r="U4" s="9"/>
      <c r="V4" s="18">
        <v>2</v>
      </c>
      <c r="W4" s="18"/>
      <c r="X4" s="18"/>
      <c r="Y4" s="18"/>
      <c r="AB4" s="13"/>
      <c r="AC4" s="13"/>
      <c r="AD4" s="22" t="s">
        <v>9</v>
      </c>
      <c r="AE4" s="22"/>
      <c r="AF4" s="22"/>
      <c r="AG4" s="22"/>
      <c r="AH4" s="22"/>
      <c r="AI4" s="36"/>
      <c r="AJ4" s="36"/>
      <c r="AK4" s="13"/>
      <c r="AL4" s="22" t="s">
        <v>11</v>
      </c>
      <c r="AM4" s="22"/>
      <c r="AN4" s="22"/>
      <c r="AO4" s="15"/>
    </row>
    <row r="5" spans="1:41" x14ac:dyDescent="0.3">
      <c r="A5" s="7"/>
      <c r="B5" s="19" t="s">
        <v>1</v>
      </c>
      <c r="C5" s="17">
        <v>512</v>
      </c>
      <c r="D5" s="17">
        <v>1024</v>
      </c>
      <c r="E5" s="17">
        <v>2048</v>
      </c>
      <c r="F5" s="2"/>
      <c r="G5" s="19" t="s">
        <v>1</v>
      </c>
      <c r="H5" s="17">
        <v>512</v>
      </c>
      <c r="I5" s="17">
        <v>1024</v>
      </c>
      <c r="J5" s="17">
        <v>2048</v>
      </c>
      <c r="K5" s="20"/>
      <c r="L5" s="19" t="s">
        <v>1</v>
      </c>
      <c r="M5" s="17">
        <v>512</v>
      </c>
      <c r="N5" s="17">
        <v>1024</v>
      </c>
      <c r="O5" s="17">
        <v>2048</v>
      </c>
      <c r="P5" s="20"/>
      <c r="Q5" s="19" t="s">
        <v>1</v>
      </c>
      <c r="R5" s="17">
        <v>512</v>
      </c>
      <c r="S5" s="17">
        <v>1024</v>
      </c>
      <c r="T5" s="17">
        <v>2048</v>
      </c>
      <c r="U5" s="20"/>
      <c r="V5" s="19" t="s">
        <v>1</v>
      </c>
      <c r="W5" s="17">
        <v>512</v>
      </c>
      <c r="X5" s="17">
        <v>1024</v>
      </c>
      <c r="Y5" s="17">
        <v>2048</v>
      </c>
      <c r="AB5" s="13"/>
      <c r="AC5" s="14"/>
      <c r="AD5" s="43" t="s">
        <v>4</v>
      </c>
      <c r="AE5" s="14" t="s">
        <v>5</v>
      </c>
      <c r="AF5" s="28" t="s">
        <v>6</v>
      </c>
      <c r="AG5" s="14" t="s">
        <v>7</v>
      </c>
      <c r="AH5" s="14" t="s">
        <v>8</v>
      </c>
      <c r="AI5" s="36"/>
      <c r="AJ5" s="36"/>
      <c r="AK5" s="14"/>
      <c r="AL5" s="14" t="s">
        <v>12</v>
      </c>
      <c r="AM5" s="14" t="s">
        <v>13</v>
      </c>
      <c r="AN5" s="14" t="s">
        <v>2</v>
      </c>
      <c r="AO5" s="15"/>
    </row>
    <row r="6" spans="1:41" x14ac:dyDescent="0.3">
      <c r="A6" s="7"/>
      <c r="B6" s="19"/>
      <c r="C6" s="17"/>
      <c r="D6" s="17"/>
      <c r="E6" s="17"/>
      <c r="F6" s="2"/>
      <c r="G6" s="19"/>
      <c r="H6" s="17"/>
      <c r="I6" s="17"/>
      <c r="J6" s="17"/>
      <c r="K6" s="20"/>
      <c r="L6" s="19"/>
      <c r="M6" s="17"/>
      <c r="N6" s="17"/>
      <c r="O6" s="17"/>
      <c r="P6" s="20"/>
      <c r="Q6" s="19"/>
      <c r="R6" s="17"/>
      <c r="S6" s="17"/>
      <c r="T6" s="17"/>
      <c r="U6" s="20"/>
      <c r="V6" s="19"/>
      <c r="W6" s="17"/>
      <c r="X6" s="17"/>
      <c r="Y6" s="17"/>
      <c r="AB6" s="23" t="s">
        <v>10</v>
      </c>
      <c r="AC6" s="43" t="s">
        <v>4</v>
      </c>
      <c r="AD6" s="43">
        <v>14</v>
      </c>
      <c r="AE6" s="14">
        <v>4</v>
      </c>
      <c r="AF6" s="14">
        <v>2</v>
      </c>
      <c r="AG6" s="14">
        <v>1</v>
      </c>
      <c r="AH6" s="14">
        <v>0</v>
      </c>
      <c r="AI6" s="36"/>
      <c r="AJ6" s="38"/>
      <c r="AK6" s="14" t="s">
        <v>4</v>
      </c>
      <c r="AL6" s="14">
        <v>14</v>
      </c>
      <c r="AM6" s="14">
        <v>7</v>
      </c>
      <c r="AN6" s="14">
        <f>(AL6/21)*100</f>
        <v>66.666666666666657</v>
      </c>
      <c r="AO6" s="15"/>
    </row>
    <row r="7" spans="1:41" x14ac:dyDescent="0.3">
      <c r="A7" s="7"/>
      <c r="B7" s="1">
        <v>10</v>
      </c>
      <c r="C7" s="10">
        <v>75.238095000000001</v>
      </c>
      <c r="D7" s="10">
        <v>68.571428999999995</v>
      </c>
      <c r="E7" s="10">
        <v>72.380951999999994</v>
      </c>
      <c r="F7" s="3"/>
      <c r="G7" s="1">
        <v>10</v>
      </c>
      <c r="H7" s="10">
        <v>77.142857000000006</v>
      </c>
      <c r="I7" s="10">
        <v>74.285713999999999</v>
      </c>
      <c r="J7" s="10">
        <v>65.714286000000001</v>
      </c>
      <c r="K7" s="3"/>
      <c r="L7" s="1">
        <v>10</v>
      </c>
      <c r="M7" s="10">
        <v>79.047618999999997</v>
      </c>
      <c r="N7" s="10">
        <v>72.380951999999994</v>
      </c>
      <c r="O7" s="10">
        <v>72.380951999999994</v>
      </c>
      <c r="P7" s="3"/>
      <c r="Q7" s="1">
        <v>10</v>
      </c>
      <c r="R7" s="10">
        <v>75.238095000000001</v>
      </c>
      <c r="S7" s="10">
        <v>71.428571000000005</v>
      </c>
      <c r="T7" s="10">
        <v>70.476190000000003</v>
      </c>
      <c r="U7" s="3"/>
      <c r="V7" s="1">
        <v>10</v>
      </c>
      <c r="W7" s="10">
        <v>77.142857000000006</v>
      </c>
      <c r="X7" s="10">
        <v>78.095237999999995</v>
      </c>
      <c r="Y7" s="10">
        <v>70.476190000000003</v>
      </c>
      <c r="AB7" s="24"/>
      <c r="AC7" s="14" t="s">
        <v>5</v>
      </c>
      <c r="AD7" s="14">
        <v>0</v>
      </c>
      <c r="AE7" s="14">
        <v>16</v>
      </c>
      <c r="AF7" s="14">
        <v>3</v>
      </c>
      <c r="AG7" s="14">
        <v>2</v>
      </c>
      <c r="AH7" s="14">
        <v>0</v>
      </c>
      <c r="AI7" s="36"/>
      <c r="AJ7" s="39"/>
      <c r="AK7" s="14" t="s">
        <v>5</v>
      </c>
      <c r="AL7" s="14">
        <v>16</v>
      </c>
      <c r="AM7" s="14">
        <v>5</v>
      </c>
      <c r="AN7" s="14">
        <f t="shared" ref="AN7:AN10" si="0">(AL7/21)*100</f>
        <v>76.19047619047619</v>
      </c>
      <c r="AO7" s="15"/>
    </row>
    <row r="8" spans="1:41" x14ac:dyDescent="0.3">
      <c r="A8" s="7"/>
      <c r="B8" s="1">
        <v>11</v>
      </c>
      <c r="C8" s="10">
        <v>77.142857000000006</v>
      </c>
      <c r="D8" s="10">
        <v>74.285713999999999</v>
      </c>
      <c r="E8" s="10">
        <v>70.476190000000003</v>
      </c>
      <c r="F8" s="3"/>
      <c r="G8" s="1">
        <v>11</v>
      </c>
      <c r="H8" s="10">
        <v>75.238095000000001</v>
      </c>
      <c r="I8" s="10">
        <v>78.095237999999995</v>
      </c>
      <c r="J8" s="10">
        <v>71.428571000000005</v>
      </c>
      <c r="K8" s="3"/>
      <c r="L8" s="1">
        <v>11</v>
      </c>
      <c r="M8" s="10">
        <v>74.285713999999999</v>
      </c>
      <c r="N8" s="10">
        <v>71.428571000000005</v>
      </c>
      <c r="O8" s="10">
        <v>63.809524000000003</v>
      </c>
      <c r="P8" s="3"/>
      <c r="Q8" s="1">
        <v>11</v>
      </c>
      <c r="R8" s="10">
        <v>75.238095000000001</v>
      </c>
      <c r="S8" s="10">
        <v>79.047618999999997</v>
      </c>
      <c r="T8" s="10">
        <v>72.380951999999994</v>
      </c>
      <c r="U8" s="3"/>
      <c r="V8" s="1">
        <v>11</v>
      </c>
      <c r="W8" s="10">
        <v>74.285713999999999</v>
      </c>
      <c r="X8" s="10">
        <v>70.476190000000003</v>
      </c>
      <c r="Y8" s="10">
        <v>67.619048000000006</v>
      </c>
      <c r="AB8" s="24"/>
      <c r="AC8" s="28" t="s">
        <v>6</v>
      </c>
      <c r="AD8" s="14">
        <v>0</v>
      </c>
      <c r="AE8" s="14">
        <v>0</v>
      </c>
      <c r="AF8" s="28">
        <v>19</v>
      </c>
      <c r="AG8" s="14">
        <v>0</v>
      </c>
      <c r="AH8" s="14">
        <v>2</v>
      </c>
      <c r="AI8" s="36"/>
      <c r="AJ8" s="39"/>
      <c r="AK8" s="14" t="s">
        <v>6</v>
      </c>
      <c r="AL8" s="14">
        <v>19</v>
      </c>
      <c r="AM8" s="14">
        <v>2</v>
      </c>
      <c r="AN8" s="14">
        <f t="shared" si="0"/>
        <v>90.476190476190482</v>
      </c>
      <c r="AO8" s="15"/>
    </row>
    <row r="9" spans="1:41" x14ac:dyDescent="0.3">
      <c r="A9" s="7"/>
      <c r="B9" s="1">
        <v>12</v>
      </c>
      <c r="C9" s="10">
        <v>74.285713999999999</v>
      </c>
      <c r="D9" s="10">
        <v>77.142857000000006</v>
      </c>
      <c r="E9" s="10">
        <v>67.619048000000006</v>
      </c>
      <c r="F9" s="3"/>
      <c r="G9" s="1">
        <v>12</v>
      </c>
      <c r="H9" s="10">
        <v>71.428571000000005</v>
      </c>
      <c r="I9" s="10">
        <v>73.333332999999996</v>
      </c>
      <c r="J9" s="10">
        <v>68.571428999999995</v>
      </c>
      <c r="K9" s="3"/>
      <c r="L9" s="1">
        <v>12</v>
      </c>
      <c r="M9" s="10">
        <v>72.380951999999994</v>
      </c>
      <c r="N9" s="10">
        <v>70.476190000000003</v>
      </c>
      <c r="O9" s="10">
        <v>71.428571000000005</v>
      </c>
      <c r="P9" s="3"/>
      <c r="Q9" s="1">
        <v>12</v>
      </c>
      <c r="R9" s="10">
        <v>73.333332999999996</v>
      </c>
      <c r="S9" s="10">
        <v>67.619048000000006</v>
      </c>
      <c r="T9" s="10">
        <v>69.523809999999997</v>
      </c>
      <c r="U9" s="3"/>
      <c r="V9" s="1">
        <v>12</v>
      </c>
      <c r="W9" s="10">
        <v>75.238095000000001</v>
      </c>
      <c r="X9" s="10">
        <v>72.380951999999994</v>
      </c>
      <c r="Y9" s="10">
        <v>74.285713999999999</v>
      </c>
      <c r="AB9" s="24"/>
      <c r="AC9" s="14" t="s">
        <v>7</v>
      </c>
      <c r="AD9" s="14">
        <v>0</v>
      </c>
      <c r="AE9" s="14">
        <v>1</v>
      </c>
      <c r="AF9" s="14">
        <v>1</v>
      </c>
      <c r="AG9" s="14">
        <v>18</v>
      </c>
      <c r="AH9" s="14">
        <v>1</v>
      </c>
      <c r="AI9" s="36"/>
      <c r="AJ9" s="39"/>
      <c r="AK9" s="14" t="s">
        <v>7</v>
      </c>
      <c r="AL9" s="14">
        <v>18</v>
      </c>
      <c r="AM9" s="14">
        <v>3</v>
      </c>
      <c r="AN9" s="14">
        <f t="shared" si="0"/>
        <v>85.714285714285708</v>
      </c>
    </row>
    <row r="10" spans="1:41" x14ac:dyDescent="0.3">
      <c r="A10" s="7"/>
      <c r="B10" s="1">
        <v>13</v>
      </c>
      <c r="C10" s="10">
        <v>73.333332999999996</v>
      </c>
      <c r="D10" s="10">
        <v>74.285713999999999</v>
      </c>
      <c r="E10" s="10">
        <v>72.380951999999994</v>
      </c>
      <c r="F10" s="3"/>
      <c r="G10" s="1">
        <v>13</v>
      </c>
      <c r="H10" s="10">
        <v>76.190476000000004</v>
      </c>
      <c r="I10" s="10">
        <v>78.095237999999995</v>
      </c>
      <c r="J10" s="10">
        <v>69.523809999999997</v>
      </c>
      <c r="K10" s="3"/>
      <c r="L10" s="1">
        <v>13</v>
      </c>
      <c r="M10" s="10">
        <v>74.285713999999999</v>
      </c>
      <c r="N10" s="10">
        <v>76.190476000000004</v>
      </c>
      <c r="O10" s="10">
        <v>68.571428999999995</v>
      </c>
      <c r="P10" s="3"/>
      <c r="Q10" s="1">
        <v>13</v>
      </c>
      <c r="R10" s="10">
        <v>73.333332999999996</v>
      </c>
      <c r="S10" s="10">
        <v>70.476190000000003</v>
      </c>
      <c r="T10" s="10">
        <v>72.380951999999994</v>
      </c>
      <c r="U10" s="3"/>
      <c r="V10" s="1">
        <v>13</v>
      </c>
      <c r="W10" s="10">
        <v>72.380951999999994</v>
      </c>
      <c r="X10" s="10">
        <v>68.571428999999995</v>
      </c>
      <c r="Y10" s="10">
        <v>69.523809999999997</v>
      </c>
      <c r="AB10" s="24"/>
      <c r="AC10" s="14" t="s">
        <v>8</v>
      </c>
      <c r="AD10" s="14">
        <v>0</v>
      </c>
      <c r="AE10" s="14">
        <v>0</v>
      </c>
      <c r="AF10" s="14">
        <v>5</v>
      </c>
      <c r="AG10" s="14">
        <v>0</v>
      </c>
      <c r="AH10" s="14">
        <v>16</v>
      </c>
      <c r="AI10" s="36"/>
      <c r="AJ10" s="39"/>
      <c r="AK10" s="14" t="s">
        <v>8</v>
      </c>
      <c r="AL10" s="14">
        <v>16</v>
      </c>
      <c r="AM10" s="14">
        <v>5</v>
      </c>
      <c r="AN10" s="14">
        <f t="shared" si="0"/>
        <v>76.19047619047619</v>
      </c>
    </row>
    <row r="11" spans="1:41" x14ac:dyDescent="0.3">
      <c r="A11" s="7"/>
      <c r="B11" s="1">
        <v>14</v>
      </c>
      <c r="C11" s="10">
        <v>71.428571000000005</v>
      </c>
      <c r="D11" s="10">
        <v>70.476190000000003</v>
      </c>
      <c r="E11" s="10">
        <v>68.571428999999995</v>
      </c>
      <c r="F11" s="3"/>
      <c r="G11" s="1">
        <v>14</v>
      </c>
      <c r="H11" s="10">
        <v>73.333332999999996</v>
      </c>
      <c r="I11" s="10">
        <v>74.285713999999999</v>
      </c>
      <c r="J11" s="10">
        <v>67.619048000000006</v>
      </c>
      <c r="K11" s="3"/>
      <c r="L11" s="1">
        <v>14</v>
      </c>
      <c r="M11" s="10">
        <v>70.476190000000003</v>
      </c>
      <c r="N11" s="10">
        <v>74.285713999999999</v>
      </c>
      <c r="O11" s="10">
        <v>67.619048000000006</v>
      </c>
      <c r="P11" s="3"/>
      <c r="Q11" s="1">
        <v>14</v>
      </c>
      <c r="R11" s="10">
        <v>74.285713999999999</v>
      </c>
      <c r="S11" s="10">
        <v>72.380951999999994</v>
      </c>
      <c r="T11" s="10">
        <v>71.428571000000005</v>
      </c>
      <c r="U11" s="3"/>
      <c r="V11" s="1">
        <v>14</v>
      </c>
      <c r="W11" s="10">
        <v>76.190476000000004</v>
      </c>
      <c r="X11" s="10">
        <v>74.285713999999999</v>
      </c>
      <c r="Y11" s="10">
        <v>65.714286000000001</v>
      </c>
      <c r="AB11" s="35"/>
      <c r="AC11" s="36"/>
      <c r="AD11" s="36"/>
      <c r="AE11" s="36"/>
      <c r="AF11" s="36"/>
      <c r="AG11" s="36"/>
      <c r="AH11" s="36"/>
      <c r="AI11" s="36"/>
      <c r="AJ11" s="36"/>
      <c r="AK11" s="25" t="s">
        <v>17</v>
      </c>
      <c r="AL11" s="26"/>
      <c r="AM11" s="27"/>
      <c r="AN11" s="21">
        <f>AVERAGE(AN6:AN10)</f>
        <v>79.047619047619051</v>
      </c>
    </row>
    <row r="12" spans="1:41" x14ac:dyDescent="0.3">
      <c r="A12" s="7"/>
      <c r="B12" s="1">
        <v>15</v>
      </c>
      <c r="C12" s="10">
        <v>74.285713999999999</v>
      </c>
      <c r="D12" s="11">
        <v>83.809523999999996</v>
      </c>
      <c r="E12" s="10">
        <v>72.380951999999994</v>
      </c>
      <c r="F12" s="3"/>
      <c r="G12" s="1">
        <v>15</v>
      </c>
      <c r="H12" s="10">
        <v>79.047618999999997</v>
      </c>
      <c r="I12" s="10">
        <v>75.238095000000001</v>
      </c>
      <c r="J12" s="10">
        <v>68.571428999999995</v>
      </c>
      <c r="K12" s="3"/>
      <c r="L12" s="1">
        <v>15</v>
      </c>
      <c r="M12" s="10">
        <v>79.047618999999997</v>
      </c>
      <c r="N12" s="10">
        <v>78.095237999999995</v>
      </c>
      <c r="O12" s="10">
        <v>67.619048000000006</v>
      </c>
      <c r="P12" s="3"/>
      <c r="Q12" s="1">
        <v>15</v>
      </c>
      <c r="R12" s="10">
        <v>79.047618999999997</v>
      </c>
      <c r="S12" s="10">
        <v>77.142857000000006</v>
      </c>
      <c r="T12" s="10">
        <v>72.380951999999994</v>
      </c>
      <c r="U12" s="5"/>
      <c r="V12" s="1">
        <v>15</v>
      </c>
      <c r="W12" s="10">
        <v>76.190476000000004</v>
      </c>
      <c r="X12" s="10">
        <v>78.095237999999995</v>
      </c>
      <c r="Y12" s="10">
        <v>75.238095000000001</v>
      </c>
      <c r="AB12" s="40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2"/>
    </row>
    <row r="13" spans="1:41" x14ac:dyDescent="0.3">
      <c r="A13" s="7"/>
      <c r="B13" s="1">
        <v>16</v>
      </c>
      <c r="C13" s="10">
        <v>70.476190000000003</v>
      </c>
      <c r="D13" s="10">
        <v>77.142857000000006</v>
      </c>
      <c r="E13" s="10">
        <v>68.571428999999995</v>
      </c>
      <c r="F13" s="3"/>
      <c r="G13" s="1">
        <v>16</v>
      </c>
      <c r="H13" s="10">
        <v>72.380951999999994</v>
      </c>
      <c r="I13" s="10">
        <v>78.095237999999995</v>
      </c>
      <c r="J13" s="10">
        <v>72.380951999999994</v>
      </c>
      <c r="K13" s="3"/>
      <c r="L13" s="1">
        <v>16</v>
      </c>
      <c r="M13" s="10">
        <v>70.476190000000003</v>
      </c>
      <c r="N13" s="10">
        <v>78.095237999999995</v>
      </c>
      <c r="O13" s="10">
        <v>71.428571000000005</v>
      </c>
      <c r="P13" s="3"/>
      <c r="Q13" s="1">
        <v>16</v>
      </c>
      <c r="R13" s="10">
        <v>73.333332999999996</v>
      </c>
      <c r="S13" s="10">
        <v>77.142857000000006</v>
      </c>
      <c r="T13" s="10">
        <v>71.428571000000005</v>
      </c>
      <c r="U13" s="3"/>
      <c r="V13" s="1">
        <v>16</v>
      </c>
      <c r="W13" s="10">
        <v>72.380951999999994</v>
      </c>
      <c r="X13" s="10">
        <v>75.238095000000001</v>
      </c>
      <c r="Y13" s="10">
        <v>67.619048000000006</v>
      </c>
    </row>
    <row r="14" spans="1:41" x14ac:dyDescent="0.3">
      <c r="A14" s="7"/>
      <c r="B14" s="1">
        <v>17</v>
      </c>
      <c r="C14" s="10">
        <v>72.380951999999994</v>
      </c>
      <c r="D14" s="10">
        <v>76.190476000000004</v>
      </c>
      <c r="E14" s="10">
        <v>71.428571000000005</v>
      </c>
      <c r="F14" s="3"/>
      <c r="G14" s="1">
        <v>17</v>
      </c>
      <c r="H14" s="10">
        <v>71.428571000000005</v>
      </c>
      <c r="I14" s="10">
        <v>75.238095000000001</v>
      </c>
      <c r="J14" s="10">
        <v>74.285713999999999</v>
      </c>
      <c r="K14" s="3"/>
      <c r="L14" s="1">
        <v>17</v>
      </c>
      <c r="M14" s="10">
        <v>72.380951999999994</v>
      </c>
      <c r="N14" s="10">
        <v>72.380951999999994</v>
      </c>
      <c r="O14" s="10">
        <v>71.428571000000005</v>
      </c>
      <c r="P14" s="3"/>
      <c r="Q14" s="1">
        <v>17</v>
      </c>
      <c r="R14" s="10">
        <v>79.047618999999997</v>
      </c>
      <c r="S14" s="10">
        <v>75.238095000000001</v>
      </c>
      <c r="T14" s="10">
        <v>71.428571000000005</v>
      </c>
      <c r="U14" s="3"/>
      <c r="V14" s="1">
        <v>17</v>
      </c>
      <c r="W14" s="10">
        <v>75.238095000000001</v>
      </c>
      <c r="X14" s="11">
        <v>81.904762000000005</v>
      </c>
      <c r="Y14" s="10">
        <v>75.238095000000001</v>
      </c>
    </row>
    <row r="15" spans="1:41" x14ac:dyDescent="0.3">
      <c r="A15" s="7"/>
      <c r="B15" s="1">
        <v>18</v>
      </c>
      <c r="C15" s="10">
        <v>74.285713999999999</v>
      </c>
      <c r="D15" s="10">
        <v>74.285713999999999</v>
      </c>
      <c r="E15" s="10">
        <v>75.238095000000001</v>
      </c>
      <c r="F15" s="3"/>
      <c r="G15" s="1">
        <v>18</v>
      </c>
      <c r="H15" s="10">
        <v>71.428571000000005</v>
      </c>
      <c r="I15" s="10">
        <v>75.238095000000001</v>
      </c>
      <c r="J15" s="10">
        <v>74.285713999999999</v>
      </c>
      <c r="K15" s="3"/>
      <c r="L15" s="1">
        <v>18</v>
      </c>
      <c r="M15" s="10">
        <v>79.047618999999997</v>
      </c>
      <c r="N15" s="11">
        <v>82.857142999999994</v>
      </c>
      <c r="O15" s="10">
        <v>71.428571000000005</v>
      </c>
      <c r="P15" s="3"/>
      <c r="Q15" s="1">
        <v>18</v>
      </c>
      <c r="R15" s="10">
        <v>76.190476000000004</v>
      </c>
      <c r="S15" s="10">
        <v>75.238095000000001</v>
      </c>
      <c r="T15" s="10">
        <v>72.380951999999994</v>
      </c>
      <c r="U15" s="3"/>
      <c r="V15" s="1">
        <v>18</v>
      </c>
      <c r="W15" s="10">
        <v>73.333332999999996</v>
      </c>
      <c r="X15" s="10">
        <v>73.333332999999996</v>
      </c>
      <c r="Y15" s="10">
        <v>73.333332999999996</v>
      </c>
      <c r="AB15" s="32" t="s">
        <v>15</v>
      </c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4"/>
    </row>
    <row r="16" spans="1:41" x14ac:dyDescent="0.3">
      <c r="A16" s="7"/>
      <c r="B16" s="1">
        <v>19</v>
      </c>
      <c r="C16" s="10">
        <v>75.238095000000001</v>
      </c>
      <c r="D16" s="11">
        <v>80.952381000000003</v>
      </c>
      <c r="E16" s="10">
        <v>72.380951999999994</v>
      </c>
      <c r="F16" s="3"/>
      <c r="G16" s="1">
        <v>19</v>
      </c>
      <c r="H16" s="10">
        <v>74.285713999999999</v>
      </c>
      <c r="I16" s="11">
        <v>80.952381000000003</v>
      </c>
      <c r="J16" s="10">
        <v>70.476190000000003</v>
      </c>
      <c r="K16" s="3"/>
      <c r="L16" s="1">
        <v>19</v>
      </c>
      <c r="M16" s="10">
        <v>77.142857000000006</v>
      </c>
      <c r="N16" s="11">
        <v>80.952381000000003</v>
      </c>
      <c r="O16" s="10">
        <v>74.285713999999999</v>
      </c>
      <c r="P16" s="3"/>
      <c r="Q16" s="1">
        <v>19</v>
      </c>
      <c r="R16" s="11">
        <v>81.904762000000005</v>
      </c>
      <c r="S16" s="11">
        <v>80.952381000000003</v>
      </c>
      <c r="T16" s="10">
        <v>78.095237999999995</v>
      </c>
      <c r="U16" s="3"/>
      <c r="V16" s="1">
        <v>19</v>
      </c>
      <c r="W16" s="11">
        <v>80.952381000000003</v>
      </c>
      <c r="X16" s="10">
        <v>75.238095000000001</v>
      </c>
      <c r="Y16" s="10">
        <v>74.285713999999999</v>
      </c>
      <c r="AB16" s="35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7"/>
    </row>
    <row r="17" spans="1:40" x14ac:dyDescent="0.3">
      <c r="A17" s="7"/>
      <c r="B17" s="1">
        <v>20</v>
      </c>
      <c r="C17" s="10">
        <v>74.285713999999999</v>
      </c>
      <c r="D17" s="10">
        <v>79.047618999999997</v>
      </c>
      <c r="E17" s="10">
        <v>74.285713999999999</v>
      </c>
      <c r="F17" s="3"/>
      <c r="G17" s="1">
        <v>20</v>
      </c>
      <c r="H17" s="10">
        <v>77.142857000000006</v>
      </c>
      <c r="I17" s="10">
        <v>72.380951999999994</v>
      </c>
      <c r="J17" s="10">
        <v>74.285713999999999</v>
      </c>
      <c r="K17" s="3"/>
      <c r="L17" s="1">
        <v>20</v>
      </c>
      <c r="M17" s="10">
        <v>71.428571000000005</v>
      </c>
      <c r="N17" s="10">
        <v>77.142857000000006</v>
      </c>
      <c r="O17" s="10">
        <v>72.380951999999994</v>
      </c>
      <c r="P17" s="3"/>
      <c r="Q17" s="1">
        <v>20</v>
      </c>
      <c r="R17" s="10">
        <v>77.142857000000006</v>
      </c>
      <c r="S17" s="10">
        <v>77.142857000000006</v>
      </c>
      <c r="T17" s="10">
        <v>72.380951999999994</v>
      </c>
      <c r="U17" s="3"/>
      <c r="V17" s="1">
        <v>20</v>
      </c>
      <c r="W17" s="10">
        <v>76.190476000000004</v>
      </c>
      <c r="X17" s="10">
        <v>76.190476000000004</v>
      </c>
      <c r="Y17" s="10">
        <v>73.333332999999996</v>
      </c>
      <c r="AB17" s="13"/>
      <c r="AC17" s="13"/>
      <c r="AD17" s="22" t="s">
        <v>9</v>
      </c>
      <c r="AE17" s="22"/>
      <c r="AF17" s="22"/>
      <c r="AG17" s="22"/>
      <c r="AH17" s="22"/>
      <c r="AI17" s="36"/>
      <c r="AJ17" s="36"/>
      <c r="AK17" s="13"/>
      <c r="AL17" s="22" t="s">
        <v>11</v>
      </c>
      <c r="AM17" s="22"/>
      <c r="AN17" s="22"/>
    </row>
    <row r="18" spans="1:40" x14ac:dyDescent="0.3">
      <c r="A18" s="7"/>
      <c r="B18" s="1">
        <v>21</v>
      </c>
      <c r="C18" s="10">
        <v>75.238095000000001</v>
      </c>
      <c r="D18" s="10">
        <v>73.333332999999996</v>
      </c>
      <c r="E18" s="10">
        <v>72.380951999999994</v>
      </c>
      <c r="F18" s="3"/>
      <c r="G18" s="1">
        <v>21</v>
      </c>
      <c r="H18" s="10">
        <v>75.238095000000001</v>
      </c>
      <c r="I18" s="10">
        <v>78.095237999999995</v>
      </c>
      <c r="J18" s="10">
        <v>69.523809999999997</v>
      </c>
      <c r="K18" s="3"/>
      <c r="L18" s="1">
        <v>21</v>
      </c>
      <c r="M18" s="10">
        <v>72.380951999999994</v>
      </c>
      <c r="N18" s="11">
        <v>80.952381000000003</v>
      </c>
      <c r="O18" s="10">
        <v>73.333332999999996</v>
      </c>
      <c r="P18" s="3"/>
      <c r="Q18" s="1">
        <v>21</v>
      </c>
      <c r="R18" s="10">
        <v>76.190476000000004</v>
      </c>
      <c r="S18" s="11">
        <v>80.952381000000003</v>
      </c>
      <c r="T18" s="10">
        <v>70.476190000000003</v>
      </c>
      <c r="U18" s="3"/>
      <c r="V18" s="1">
        <v>21</v>
      </c>
      <c r="W18" s="10">
        <v>74.285713999999999</v>
      </c>
      <c r="X18" s="11">
        <v>80.952381000000003</v>
      </c>
      <c r="Y18" s="10">
        <v>75.238095000000001</v>
      </c>
      <c r="AB18" s="13"/>
      <c r="AC18" s="29"/>
      <c r="AD18" s="30" t="s">
        <v>4</v>
      </c>
      <c r="AE18" s="14" t="s">
        <v>5</v>
      </c>
      <c r="AF18" s="31" t="s">
        <v>6</v>
      </c>
      <c r="AG18" s="14" t="s">
        <v>7</v>
      </c>
      <c r="AH18" s="14" t="s">
        <v>8</v>
      </c>
      <c r="AI18" s="36"/>
      <c r="AJ18" s="36"/>
      <c r="AK18" s="14"/>
      <c r="AL18" s="14" t="s">
        <v>12</v>
      </c>
      <c r="AM18" s="14" t="s">
        <v>13</v>
      </c>
      <c r="AN18" s="14" t="s">
        <v>2</v>
      </c>
    </row>
    <row r="19" spans="1:40" x14ac:dyDescent="0.3">
      <c r="A19" s="7"/>
      <c r="B19" s="1">
        <v>22</v>
      </c>
      <c r="C19" s="10">
        <v>76.190476000000004</v>
      </c>
      <c r="D19" s="10">
        <v>79.047618999999997</v>
      </c>
      <c r="E19" s="10">
        <v>75.238095000000001</v>
      </c>
      <c r="F19" s="3"/>
      <c r="G19" s="1">
        <v>22</v>
      </c>
      <c r="H19" s="10">
        <v>74.285713999999999</v>
      </c>
      <c r="I19" s="11">
        <v>80.952381000000003</v>
      </c>
      <c r="J19" s="10">
        <v>73.333332999999996</v>
      </c>
      <c r="K19" s="3"/>
      <c r="L19" s="1">
        <v>22</v>
      </c>
      <c r="M19" s="10">
        <v>77.142857000000006</v>
      </c>
      <c r="N19" s="11">
        <v>81.904762000000005</v>
      </c>
      <c r="O19" s="10">
        <v>70.476190000000003</v>
      </c>
      <c r="P19" s="3"/>
      <c r="Q19" s="1">
        <v>22</v>
      </c>
      <c r="R19" s="10">
        <v>74.285713999999999</v>
      </c>
      <c r="S19" s="11">
        <v>81.904762000000005</v>
      </c>
      <c r="T19" s="10">
        <v>68.571428999999995</v>
      </c>
      <c r="U19" s="3"/>
      <c r="V19" s="1">
        <v>22</v>
      </c>
      <c r="W19" s="11">
        <v>80</v>
      </c>
      <c r="X19" s="11">
        <v>81.904762000000005</v>
      </c>
      <c r="Y19" s="10">
        <v>78.095237999999995</v>
      </c>
      <c r="AB19" s="23" t="s">
        <v>10</v>
      </c>
      <c r="AC19" s="30" t="s">
        <v>4</v>
      </c>
      <c r="AD19" s="30">
        <v>15</v>
      </c>
      <c r="AE19" s="14">
        <v>3</v>
      </c>
      <c r="AF19" s="14">
        <v>1</v>
      </c>
      <c r="AG19" s="14">
        <v>2</v>
      </c>
      <c r="AH19" s="14">
        <v>0</v>
      </c>
      <c r="AI19" s="36"/>
      <c r="AJ19" s="38"/>
      <c r="AK19" s="14" t="s">
        <v>4</v>
      </c>
      <c r="AL19" s="14">
        <f>AD19</f>
        <v>15</v>
      </c>
      <c r="AM19" s="14">
        <v>6</v>
      </c>
      <c r="AN19" s="14">
        <f>AL19/21*100</f>
        <v>71.428571428571431</v>
      </c>
    </row>
    <row r="20" spans="1:40" x14ac:dyDescent="0.3">
      <c r="A20" s="7"/>
      <c r="B20" s="1">
        <v>23</v>
      </c>
      <c r="C20" s="10">
        <v>77.142857000000006</v>
      </c>
      <c r="D20" s="10">
        <v>77.142857000000006</v>
      </c>
      <c r="E20" s="10">
        <v>72.380951999999994</v>
      </c>
      <c r="F20" s="3"/>
      <c r="G20" s="1">
        <v>23</v>
      </c>
      <c r="H20" s="10">
        <v>76.190476000000004</v>
      </c>
      <c r="I20" s="10">
        <v>78.095237999999995</v>
      </c>
      <c r="J20" s="10">
        <v>72.380951999999994</v>
      </c>
      <c r="K20" s="3"/>
      <c r="L20" s="1">
        <v>23</v>
      </c>
      <c r="M20" s="10">
        <v>77.142857000000006</v>
      </c>
      <c r="N20" s="10">
        <v>78.095237999999995</v>
      </c>
      <c r="O20" s="10">
        <v>77.142857000000006</v>
      </c>
      <c r="P20" s="3"/>
      <c r="Q20" s="1">
        <v>23</v>
      </c>
      <c r="R20" s="10">
        <v>75.238095000000001</v>
      </c>
      <c r="S20" s="10">
        <v>78.095237999999995</v>
      </c>
      <c r="T20" s="10">
        <v>79.047618999999997</v>
      </c>
      <c r="U20" s="3"/>
      <c r="V20" s="1">
        <v>23</v>
      </c>
      <c r="W20" s="10">
        <v>75.238095000000001</v>
      </c>
      <c r="X20" s="11">
        <v>80.952381000000003</v>
      </c>
      <c r="Y20" s="10">
        <v>72.380951999999994</v>
      </c>
      <c r="AB20" s="24"/>
      <c r="AC20" s="14" t="s">
        <v>5</v>
      </c>
      <c r="AD20" s="14">
        <v>0</v>
      </c>
      <c r="AE20" s="14">
        <v>18</v>
      </c>
      <c r="AF20" s="14">
        <v>2</v>
      </c>
      <c r="AG20" s="14">
        <v>1</v>
      </c>
      <c r="AH20" s="14">
        <v>0</v>
      </c>
      <c r="AI20" s="36"/>
      <c r="AJ20" s="39"/>
      <c r="AK20" s="14" t="s">
        <v>5</v>
      </c>
      <c r="AL20" s="14">
        <v>18</v>
      </c>
      <c r="AM20" s="14">
        <v>3</v>
      </c>
      <c r="AN20" s="14">
        <f t="shared" ref="AN20:AN23" si="1">AL20/21*100</f>
        <v>85.714285714285708</v>
      </c>
    </row>
    <row r="21" spans="1:40" x14ac:dyDescent="0.3">
      <c r="A21" s="7"/>
      <c r="B21" s="1">
        <v>24</v>
      </c>
      <c r="C21" s="10">
        <v>76.190476000000004</v>
      </c>
      <c r="D21" s="10">
        <v>76.190476000000004</v>
      </c>
      <c r="E21" s="10">
        <v>67.619048000000006</v>
      </c>
      <c r="F21" s="3"/>
      <c r="G21" s="1">
        <v>24</v>
      </c>
      <c r="H21" s="10">
        <v>75.238095000000001</v>
      </c>
      <c r="I21" s="10">
        <v>77.142857000000006</v>
      </c>
      <c r="J21" s="10">
        <v>75.238095000000001</v>
      </c>
      <c r="K21" s="3"/>
      <c r="L21" s="1">
        <v>24</v>
      </c>
      <c r="M21" s="10">
        <v>71.428571000000005</v>
      </c>
      <c r="N21" s="11">
        <v>78.095237999999995</v>
      </c>
      <c r="O21" s="10">
        <v>72.380951999999994</v>
      </c>
      <c r="P21" s="3"/>
      <c r="Q21" s="1">
        <v>24</v>
      </c>
      <c r="R21" s="10">
        <v>75.238095000000001</v>
      </c>
      <c r="S21" s="10">
        <v>75.238095000000001</v>
      </c>
      <c r="T21" s="10">
        <v>71.428571000000005</v>
      </c>
      <c r="U21" s="3"/>
      <c r="V21" s="1">
        <v>24</v>
      </c>
      <c r="W21" s="10">
        <v>72.380951999999994</v>
      </c>
      <c r="X21" s="10">
        <v>76.190476000000004</v>
      </c>
      <c r="Y21" s="10">
        <v>70.476190000000003</v>
      </c>
      <c r="AB21" s="24"/>
      <c r="AC21" s="31" t="s">
        <v>6</v>
      </c>
      <c r="AD21" s="14">
        <v>0</v>
      </c>
      <c r="AE21" s="14">
        <v>0</v>
      </c>
      <c r="AF21" s="31">
        <v>20</v>
      </c>
      <c r="AG21" s="14">
        <v>0</v>
      </c>
      <c r="AH21" s="14">
        <v>1</v>
      </c>
      <c r="AI21" s="36"/>
      <c r="AJ21" s="39"/>
      <c r="AK21" s="14" t="s">
        <v>6</v>
      </c>
      <c r="AL21" s="14">
        <v>20</v>
      </c>
      <c r="AM21" s="14">
        <v>1</v>
      </c>
      <c r="AN21" s="14">
        <f t="shared" si="1"/>
        <v>95.238095238095227</v>
      </c>
    </row>
    <row r="22" spans="1:40" x14ac:dyDescent="0.3">
      <c r="A22" s="7"/>
      <c r="B22" s="1">
        <v>25</v>
      </c>
      <c r="C22" s="10">
        <v>75.238095000000001</v>
      </c>
      <c r="D22" s="10">
        <v>74.285713999999999</v>
      </c>
      <c r="E22" s="10">
        <v>72.380951999999994</v>
      </c>
      <c r="F22" s="3"/>
      <c r="G22" s="1">
        <v>25</v>
      </c>
      <c r="H22" s="10">
        <v>75.238095000000001</v>
      </c>
      <c r="I22" s="10">
        <v>75.238095000000001</v>
      </c>
      <c r="J22" s="10">
        <v>72.380951999999994</v>
      </c>
      <c r="K22" s="3"/>
      <c r="L22" s="1">
        <v>25</v>
      </c>
      <c r="M22" s="10">
        <v>79.047618999999997</v>
      </c>
      <c r="N22" s="10">
        <v>75.238095000000001</v>
      </c>
      <c r="O22" s="10">
        <v>72.380951999999994</v>
      </c>
      <c r="P22" s="3"/>
      <c r="Q22" s="1">
        <v>25</v>
      </c>
      <c r="R22" s="10">
        <v>75.238095000000001</v>
      </c>
      <c r="S22" s="10">
        <v>77.142857000000006</v>
      </c>
      <c r="T22" s="10">
        <v>73.333332999999996</v>
      </c>
      <c r="U22" s="3"/>
      <c r="V22" s="1">
        <v>25</v>
      </c>
      <c r="W22" s="10">
        <v>74.285713999999999</v>
      </c>
      <c r="X22" s="10">
        <v>77.142857000000006</v>
      </c>
      <c r="Y22" s="10">
        <v>73.333332999999996</v>
      </c>
      <c r="AB22" s="24"/>
      <c r="AC22" s="14" t="s">
        <v>7</v>
      </c>
      <c r="AD22" s="14">
        <v>0</v>
      </c>
      <c r="AE22" s="14">
        <v>0</v>
      </c>
      <c r="AF22" s="14">
        <v>1</v>
      </c>
      <c r="AG22" s="14">
        <v>18</v>
      </c>
      <c r="AH22" s="14">
        <v>2</v>
      </c>
      <c r="AI22" s="36"/>
      <c r="AJ22" s="39"/>
      <c r="AK22" s="14" t="s">
        <v>7</v>
      </c>
      <c r="AL22" s="14">
        <v>18</v>
      </c>
      <c r="AM22" s="14">
        <v>3</v>
      </c>
      <c r="AN22" s="14">
        <f t="shared" si="1"/>
        <v>85.714285714285708</v>
      </c>
    </row>
    <row r="23" spans="1:40" x14ac:dyDescent="0.3">
      <c r="A23" s="7"/>
      <c r="B23" s="1">
        <v>26</v>
      </c>
      <c r="C23" s="10">
        <v>78.095237999999995</v>
      </c>
      <c r="D23" s="10">
        <v>76.190476000000004</v>
      </c>
      <c r="E23" s="10">
        <v>68.571428999999995</v>
      </c>
      <c r="F23" s="3"/>
      <c r="G23" s="1">
        <v>26</v>
      </c>
      <c r="H23" s="10">
        <v>77.142857000000006</v>
      </c>
      <c r="I23" s="10">
        <v>76.190476000000004</v>
      </c>
      <c r="J23" s="10">
        <v>71.428571000000005</v>
      </c>
      <c r="K23" s="3"/>
      <c r="L23" s="1">
        <v>26</v>
      </c>
      <c r="M23" s="10">
        <v>77.142857000000006</v>
      </c>
      <c r="N23" s="10">
        <v>72.380951999999994</v>
      </c>
      <c r="O23" s="10">
        <v>71.428571000000005</v>
      </c>
      <c r="P23" s="3"/>
      <c r="Q23" s="1">
        <v>26</v>
      </c>
      <c r="R23" s="10">
        <v>76.190476000000004</v>
      </c>
      <c r="S23" s="11">
        <v>81.904762000000005</v>
      </c>
      <c r="T23" s="10">
        <v>75.238095000000001</v>
      </c>
      <c r="U23" s="3"/>
      <c r="V23" s="1">
        <v>26</v>
      </c>
      <c r="W23" s="10">
        <v>76.190476000000004</v>
      </c>
      <c r="X23" s="10">
        <v>78.095237999999995</v>
      </c>
      <c r="Y23" s="10">
        <v>77.142857000000006</v>
      </c>
      <c r="AB23" s="24"/>
      <c r="AC23" s="14" t="s">
        <v>8</v>
      </c>
      <c r="AD23" s="14">
        <v>0</v>
      </c>
      <c r="AE23" s="14">
        <v>0</v>
      </c>
      <c r="AF23" s="14">
        <v>2</v>
      </c>
      <c r="AG23" s="14">
        <v>0</v>
      </c>
      <c r="AH23" s="14">
        <v>19</v>
      </c>
      <c r="AI23" s="36"/>
      <c r="AJ23" s="39"/>
      <c r="AK23" s="14" t="s">
        <v>8</v>
      </c>
      <c r="AL23" s="14">
        <v>19</v>
      </c>
      <c r="AM23" s="14">
        <v>2</v>
      </c>
      <c r="AN23" s="14">
        <f t="shared" si="1"/>
        <v>90.476190476190482</v>
      </c>
    </row>
    <row r="24" spans="1:40" x14ac:dyDescent="0.3">
      <c r="A24" s="7"/>
      <c r="B24" s="1">
        <v>27</v>
      </c>
      <c r="C24" s="10">
        <v>79.047618999999997</v>
      </c>
      <c r="D24" s="11">
        <v>83.809523999999996</v>
      </c>
      <c r="E24" s="10">
        <v>73.333332999999996</v>
      </c>
      <c r="F24" s="3"/>
      <c r="G24" s="1">
        <v>27</v>
      </c>
      <c r="H24" s="10">
        <v>79.047618999999997</v>
      </c>
      <c r="I24" s="12">
        <v>85.714286000000001</v>
      </c>
      <c r="J24" s="10">
        <v>70.476190000000003</v>
      </c>
      <c r="K24" s="3"/>
      <c r="L24" s="1">
        <v>27</v>
      </c>
      <c r="M24" s="10">
        <v>78.095237999999995</v>
      </c>
      <c r="N24" s="11">
        <v>80</v>
      </c>
      <c r="O24" s="10">
        <v>70.476190000000003</v>
      </c>
      <c r="P24" s="3"/>
      <c r="Q24" s="1">
        <v>27</v>
      </c>
      <c r="R24" s="10">
        <v>80</v>
      </c>
      <c r="S24" s="11">
        <v>81.904762000000005</v>
      </c>
      <c r="T24" s="10">
        <v>74.285713999999999</v>
      </c>
      <c r="U24" s="3"/>
      <c r="V24" s="1">
        <v>27</v>
      </c>
      <c r="W24" s="10">
        <v>78.095237999999995</v>
      </c>
      <c r="X24" s="10">
        <v>76.190476000000004</v>
      </c>
      <c r="Y24" s="10">
        <v>73.333332999999996</v>
      </c>
      <c r="AB24" s="35"/>
      <c r="AC24" s="36"/>
      <c r="AD24" s="36"/>
      <c r="AE24" s="36"/>
      <c r="AF24" s="36"/>
      <c r="AG24" s="36"/>
      <c r="AH24" s="36"/>
      <c r="AI24" s="36"/>
      <c r="AJ24" s="36"/>
      <c r="AK24" s="25" t="s">
        <v>17</v>
      </c>
      <c r="AL24" s="26"/>
      <c r="AM24" s="27"/>
      <c r="AN24" s="28">
        <f>AVERAGE(AN19:AN23)</f>
        <v>85.714285714285708</v>
      </c>
    </row>
    <row r="25" spans="1:40" x14ac:dyDescent="0.3">
      <c r="A25" s="7"/>
      <c r="B25" s="1">
        <v>28</v>
      </c>
      <c r="C25" s="11">
        <v>80.952381000000003</v>
      </c>
      <c r="D25" s="11">
        <v>80.952381000000003</v>
      </c>
      <c r="E25" s="10">
        <v>68.571428999999995</v>
      </c>
      <c r="F25" s="3"/>
      <c r="G25" s="1">
        <v>28</v>
      </c>
      <c r="H25" s="11">
        <v>80</v>
      </c>
      <c r="I25" s="11">
        <v>80</v>
      </c>
      <c r="J25" s="10">
        <v>74.285713999999999</v>
      </c>
      <c r="K25" s="3"/>
      <c r="L25" s="1">
        <v>28</v>
      </c>
      <c r="M25" s="10">
        <v>79.047618999999997</v>
      </c>
      <c r="N25" s="11">
        <v>80</v>
      </c>
      <c r="O25" s="10">
        <v>76.190476000000004</v>
      </c>
      <c r="P25" s="5"/>
      <c r="Q25" s="1">
        <v>28</v>
      </c>
      <c r="R25" s="10">
        <v>77.142857000000006</v>
      </c>
      <c r="S25" s="11">
        <v>80</v>
      </c>
      <c r="T25" s="10">
        <v>74.285713999999999</v>
      </c>
      <c r="U25" s="5"/>
      <c r="V25" s="1">
        <v>28</v>
      </c>
      <c r="W25" s="10">
        <v>77.142857000000006</v>
      </c>
      <c r="X25" s="10">
        <v>79.047618999999997</v>
      </c>
      <c r="Y25" s="10">
        <v>72.380951999999994</v>
      </c>
      <c r="AB25" s="40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2"/>
    </row>
    <row r="26" spans="1:40" x14ac:dyDescent="0.3">
      <c r="A26" s="7"/>
      <c r="B26" s="1">
        <v>29</v>
      </c>
      <c r="C26" s="11">
        <v>80.952381000000003</v>
      </c>
      <c r="D26" s="11">
        <v>80</v>
      </c>
      <c r="E26" s="10">
        <v>73.333332999999996</v>
      </c>
      <c r="F26" s="3"/>
      <c r="G26" s="1">
        <v>29</v>
      </c>
      <c r="H26" s="10">
        <v>78.095237999999995</v>
      </c>
      <c r="I26" s="11">
        <v>82.857142999999994</v>
      </c>
      <c r="J26" s="10">
        <v>72.380951999999994</v>
      </c>
      <c r="K26" s="3"/>
      <c r="L26" s="1">
        <v>29</v>
      </c>
      <c r="M26" s="10">
        <v>77.142857000000006</v>
      </c>
      <c r="N26" s="11">
        <v>80</v>
      </c>
      <c r="O26" s="10">
        <v>69.523809999999997</v>
      </c>
      <c r="P26" s="5"/>
      <c r="Q26" s="1">
        <v>29</v>
      </c>
      <c r="R26" s="10">
        <v>79.047618999999997</v>
      </c>
      <c r="S26" s="11">
        <v>80.952381000000003</v>
      </c>
      <c r="T26" s="10">
        <v>70.476190000000003</v>
      </c>
      <c r="U26" s="5"/>
      <c r="V26" s="1">
        <v>29</v>
      </c>
      <c r="W26" s="10">
        <v>79.047618999999997</v>
      </c>
      <c r="X26" s="10">
        <v>78.095237999999995</v>
      </c>
      <c r="Y26" s="10">
        <v>71.428571000000005</v>
      </c>
    </row>
    <row r="27" spans="1:40" x14ac:dyDescent="0.3">
      <c r="A27" s="7"/>
      <c r="B27" s="1">
        <v>30</v>
      </c>
      <c r="C27" s="10">
        <v>75.238095000000001</v>
      </c>
      <c r="D27" s="11">
        <v>80</v>
      </c>
      <c r="E27" s="10">
        <v>71.428571000000005</v>
      </c>
      <c r="F27" s="3"/>
      <c r="G27" s="1">
        <v>30</v>
      </c>
      <c r="H27" s="10">
        <v>79.047618999999997</v>
      </c>
      <c r="I27" s="10">
        <v>77.142857000000006</v>
      </c>
      <c r="J27" s="10">
        <v>71.428571000000005</v>
      </c>
      <c r="K27" s="3"/>
      <c r="L27" s="1">
        <v>30</v>
      </c>
      <c r="M27" s="10">
        <v>78.095237999999995</v>
      </c>
      <c r="N27" s="10">
        <v>79.047618999999997</v>
      </c>
      <c r="O27" s="10">
        <v>73.333332999999996</v>
      </c>
      <c r="P27" s="3"/>
      <c r="Q27" s="1">
        <v>30</v>
      </c>
      <c r="R27" s="10">
        <v>78.095237999999995</v>
      </c>
      <c r="S27" s="11">
        <v>81.904762000000005</v>
      </c>
      <c r="T27" s="10">
        <v>71.428571000000005</v>
      </c>
      <c r="U27" s="5"/>
      <c r="V27" s="1">
        <v>30</v>
      </c>
      <c r="W27" s="10">
        <v>79.047618999999997</v>
      </c>
      <c r="X27" s="10">
        <v>79.047618999999997</v>
      </c>
      <c r="Y27" s="10">
        <v>76.190476000000004</v>
      </c>
    </row>
    <row r="28" spans="1:40" x14ac:dyDescent="0.3">
      <c r="AB28" s="32" t="s">
        <v>16</v>
      </c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4"/>
    </row>
    <row r="29" spans="1:40" x14ac:dyDescent="0.3">
      <c r="AB29" s="35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7"/>
    </row>
    <row r="30" spans="1:40" x14ac:dyDescent="0.3">
      <c r="AB30" s="13"/>
      <c r="AC30" s="13"/>
      <c r="AD30" s="22" t="s">
        <v>9</v>
      </c>
      <c r="AE30" s="22"/>
      <c r="AF30" s="22"/>
      <c r="AG30" s="22"/>
      <c r="AH30" s="22"/>
      <c r="AI30" s="36"/>
      <c r="AJ30" s="36"/>
      <c r="AK30" s="13"/>
      <c r="AL30" s="22" t="s">
        <v>11</v>
      </c>
      <c r="AM30" s="22"/>
      <c r="AN30" s="22"/>
    </row>
    <row r="31" spans="1:40" x14ac:dyDescent="0.3">
      <c r="G31" s="16" t="s">
        <v>18</v>
      </c>
      <c r="H31" s="16"/>
      <c r="I31" s="16"/>
      <c r="J31" s="16"/>
      <c r="AB31" s="13"/>
      <c r="AC31" s="14"/>
      <c r="AD31" s="43" t="s">
        <v>4</v>
      </c>
      <c r="AE31" s="14" t="s">
        <v>5</v>
      </c>
      <c r="AF31" s="14" t="s">
        <v>6</v>
      </c>
      <c r="AG31" s="14" t="s">
        <v>7</v>
      </c>
      <c r="AH31" s="28" t="s">
        <v>8</v>
      </c>
      <c r="AI31" s="36"/>
      <c r="AJ31" s="36"/>
      <c r="AK31" s="14"/>
      <c r="AL31" s="14" t="s">
        <v>12</v>
      </c>
      <c r="AM31" s="14" t="s">
        <v>13</v>
      </c>
      <c r="AN31" s="14" t="s">
        <v>2</v>
      </c>
    </row>
    <row r="32" spans="1:40" x14ac:dyDescent="0.3">
      <c r="G32" s="17" t="s">
        <v>3</v>
      </c>
      <c r="H32" s="17">
        <v>512</v>
      </c>
      <c r="I32" s="17">
        <v>1024</v>
      </c>
      <c r="J32" s="17">
        <v>2048</v>
      </c>
      <c r="AB32" s="23" t="s">
        <v>10</v>
      </c>
      <c r="AC32" s="43" t="s">
        <v>4</v>
      </c>
      <c r="AD32" s="43">
        <v>11</v>
      </c>
      <c r="AE32" s="14">
        <v>4</v>
      </c>
      <c r="AF32" s="14">
        <v>1</v>
      </c>
      <c r="AG32" s="14">
        <v>3</v>
      </c>
      <c r="AH32" s="14">
        <v>2</v>
      </c>
      <c r="AI32" s="36"/>
      <c r="AJ32" s="38"/>
      <c r="AK32" s="14" t="s">
        <v>4</v>
      </c>
      <c r="AL32" s="14">
        <v>11</v>
      </c>
      <c r="AM32" s="14">
        <f>21-AL32</f>
        <v>10</v>
      </c>
      <c r="AN32" s="14">
        <f>(AL32/21)*100</f>
        <v>52.380952380952387</v>
      </c>
    </row>
    <row r="33" spans="7:40" x14ac:dyDescent="0.3">
      <c r="G33" s="17"/>
      <c r="H33" s="17"/>
      <c r="I33" s="17"/>
      <c r="J33" s="17"/>
      <c r="AB33" s="24"/>
      <c r="AC33" s="14" t="s">
        <v>5</v>
      </c>
      <c r="AD33" s="14">
        <v>0</v>
      </c>
      <c r="AE33" s="14">
        <v>16</v>
      </c>
      <c r="AF33" s="14">
        <v>3</v>
      </c>
      <c r="AG33" s="14">
        <v>1</v>
      </c>
      <c r="AH33" s="14">
        <v>1</v>
      </c>
      <c r="AI33" s="36"/>
      <c r="AJ33" s="39"/>
      <c r="AK33" s="14" t="s">
        <v>5</v>
      </c>
      <c r="AL33" s="14">
        <v>16</v>
      </c>
      <c r="AM33" s="14">
        <f>21-AL33</f>
        <v>5</v>
      </c>
      <c r="AN33" s="14">
        <f t="shared" ref="AN33:AN36" si="2">(AL33/21)*100</f>
        <v>76.19047619047619</v>
      </c>
    </row>
    <row r="34" spans="7:40" x14ac:dyDescent="0.3">
      <c r="G34" s="1" t="s">
        <v>2</v>
      </c>
      <c r="H34" s="10">
        <v>79.047618999999997</v>
      </c>
      <c r="I34" s="12">
        <v>85.714286000000001</v>
      </c>
      <c r="J34" s="10">
        <v>70.476190000000003</v>
      </c>
      <c r="AB34" s="24"/>
      <c r="AC34" s="14" t="s">
        <v>6</v>
      </c>
      <c r="AD34" s="14">
        <v>0</v>
      </c>
      <c r="AE34" s="14">
        <v>0</v>
      </c>
      <c r="AF34" s="14">
        <v>15</v>
      </c>
      <c r="AG34" s="14">
        <v>0</v>
      </c>
      <c r="AH34" s="14">
        <v>6</v>
      </c>
      <c r="AI34" s="36"/>
      <c r="AJ34" s="39"/>
      <c r="AK34" s="14" t="s">
        <v>6</v>
      </c>
      <c r="AL34" s="14">
        <v>15</v>
      </c>
      <c r="AM34" s="14">
        <f t="shared" ref="AM34:AM36" si="3">21-AL34</f>
        <v>6</v>
      </c>
      <c r="AN34" s="14">
        <f t="shared" si="2"/>
        <v>71.428571428571431</v>
      </c>
    </row>
    <row r="35" spans="7:40" x14ac:dyDescent="0.3">
      <c r="AB35" s="24"/>
      <c r="AC35" s="14" t="s">
        <v>7</v>
      </c>
      <c r="AD35" s="14">
        <v>1</v>
      </c>
      <c r="AE35" s="14">
        <v>0</v>
      </c>
      <c r="AF35" s="14">
        <v>0</v>
      </c>
      <c r="AG35" s="14">
        <v>14</v>
      </c>
      <c r="AH35" s="14">
        <v>6</v>
      </c>
      <c r="AI35" s="36"/>
      <c r="AJ35" s="39"/>
      <c r="AK35" s="14" t="s">
        <v>7</v>
      </c>
      <c r="AL35" s="14">
        <v>14</v>
      </c>
      <c r="AM35" s="14">
        <f t="shared" si="3"/>
        <v>7</v>
      </c>
      <c r="AN35" s="14">
        <f t="shared" si="2"/>
        <v>66.666666666666657</v>
      </c>
    </row>
    <row r="36" spans="7:40" x14ac:dyDescent="0.3">
      <c r="AB36" s="24"/>
      <c r="AC36" s="28" t="s">
        <v>8</v>
      </c>
      <c r="AD36" s="14">
        <v>0</v>
      </c>
      <c r="AE36" s="14">
        <v>0</v>
      </c>
      <c r="AF36" s="14">
        <v>3</v>
      </c>
      <c r="AG36" s="14">
        <v>0</v>
      </c>
      <c r="AH36" s="28">
        <v>18</v>
      </c>
      <c r="AI36" s="36"/>
      <c r="AJ36" s="39"/>
      <c r="AK36" s="14" t="s">
        <v>8</v>
      </c>
      <c r="AL36" s="14">
        <v>18</v>
      </c>
      <c r="AM36" s="14">
        <f t="shared" si="3"/>
        <v>3</v>
      </c>
      <c r="AN36" s="14">
        <f t="shared" si="2"/>
        <v>85.714285714285708</v>
      </c>
    </row>
    <row r="37" spans="7:40" x14ac:dyDescent="0.3">
      <c r="AB37" s="35"/>
      <c r="AC37" s="36"/>
      <c r="AD37" s="36"/>
      <c r="AE37" s="36"/>
      <c r="AF37" s="36"/>
      <c r="AG37" s="36"/>
      <c r="AH37" s="36"/>
      <c r="AI37" s="36"/>
      <c r="AJ37" s="36"/>
      <c r="AK37" s="25" t="s">
        <v>17</v>
      </c>
      <c r="AL37" s="26"/>
      <c r="AM37" s="27"/>
      <c r="AN37" s="21">
        <f>AVERAGE(AN32:AN36)</f>
        <v>70.476190476190467</v>
      </c>
    </row>
    <row r="38" spans="7:40" x14ac:dyDescent="0.3">
      <c r="AB38" s="40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2"/>
    </row>
  </sheetData>
  <mergeCells count="48">
    <mergeCell ref="AK11:AM11"/>
    <mergeCell ref="AK37:AM37"/>
    <mergeCell ref="L4:O4"/>
    <mergeCell ref="Q4:T4"/>
    <mergeCell ref="V4:Y4"/>
    <mergeCell ref="W5:W6"/>
    <mergeCell ref="X5:X6"/>
    <mergeCell ref="Y5:Y6"/>
    <mergeCell ref="N5:N6"/>
    <mergeCell ref="O5:O6"/>
    <mergeCell ref="P5:P6"/>
    <mergeCell ref="Q5:Q6"/>
    <mergeCell ref="R5:R6"/>
    <mergeCell ref="S5:S6"/>
    <mergeCell ref="M5:M6"/>
    <mergeCell ref="K5:K6"/>
    <mergeCell ref="L5:L6"/>
    <mergeCell ref="T5:T6"/>
    <mergeCell ref="U5:U6"/>
    <mergeCell ref="V5:V6"/>
    <mergeCell ref="B4:E4"/>
    <mergeCell ref="G4:J4"/>
    <mergeCell ref="B5:B6"/>
    <mergeCell ref="C5:C6"/>
    <mergeCell ref="D5:D6"/>
    <mergeCell ref="E5:E6"/>
    <mergeCell ref="G5:G6"/>
    <mergeCell ref="H5:H6"/>
    <mergeCell ref="I5:I6"/>
    <mergeCell ref="J5:J6"/>
    <mergeCell ref="G31:J31"/>
    <mergeCell ref="G32:G33"/>
    <mergeCell ref="H32:H33"/>
    <mergeCell ref="I32:I33"/>
    <mergeCell ref="J32:J33"/>
    <mergeCell ref="AD30:AH30"/>
    <mergeCell ref="AL30:AN30"/>
    <mergeCell ref="AB32:AB36"/>
    <mergeCell ref="AD17:AH17"/>
    <mergeCell ref="AL17:AN17"/>
    <mergeCell ref="AB19:AB23"/>
    <mergeCell ref="AD4:AH4"/>
    <mergeCell ref="AB6:AB10"/>
    <mergeCell ref="AL4:AN4"/>
    <mergeCell ref="AK24:AM24"/>
    <mergeCell ref="AB15:AN15"/>
    <mergeCell ref="AB28:AN28"/>
    <mergeCell ref="AB2:AN2"/>
  </mergeCells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 VAN</dc:creator>
  <cp:lastModifiedBy>Phan Trần Nhật Hạ</cp:lastModifiedBy>
  <dcterms:created xsi:type="dcterms:W3CDTF">2023-11-28T06:43:34Z</dcterms:created>
  <dcterms:modified xsi:type="dcterms:W3CDTF">2023-11-28T12:34:39Z</dcterms:modified>
</cp:coreProperties>
</file>