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ING\MATLAB\"/>
    </mc:Choice>
  </mc:AlternateContent>
  <xr:revisionPtr revIDLastSave="0" documentId="13_ncr:1_{7DC5EEB2-98B4-4362-BDF2-88A225512075}" xr6:coauthVersionLast="47" xr6:coauthVersionMax="47" xr10:uidLastSave="{00000000-0000-0000-0000-000000000000}"/>
  <bookViews>
    <workbookView xWindow="-108" yWindow="-108" windowWidth="23256" windowHeight="12456" xr2:uid="{88C7DCC7-7873-4394-8E3C-16D2E75B50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C19" i="1"/>
  <c r="C21" i="1" s="1"/>
  <c r="C9" i="1"/>
  <c r="C8" i="1"/>
  <c r="C10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</future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</valueMetadata>
</metadata>
</file>

<file path=xl/sharedStrings.xml><?xml version="1.0" encoding="utf-8"?>
<sst xmlns="http://schemas.openxmlformats.org/spreadsheetml/2006/main" count="25" uniqueCount="14">
  <si>
    <t>NguyenAmHuanLuyen-16k/23MTL/a.wav</t>
  </si>
  <si>
    <t>1 frame = 30ms</t>
  </si>
  <si>
    <t>Số mẫu 1 frame: N=480</t>
  </si>
  <si>
    <t>Số frame (làm tròn): M = 45</t>
  </si>
  <si>
    <t>STE(chuẩn hóa)</t>
  </si>
  <si>
    <t>NguyenAmHuanLuyen-16k/24FTL/a.wav</t>
  </si>
  <si>
    <t>Số frame (làm tròn): M = 42</t>
  </si>
  <si>
    <t>index frame</t>
  </si>
  <si>
    <t>1 frame = 10ms</t>
  </si>
  <si>
    <t>Ngưỡng</t>
  </si>
  <si>
    <t>Max Silent</t>
  </si>
  <si>
    <t>Min Voice</t>
  </si>
  <si>
    <t>chia 3</t>
  </si>
  <si>
    <t>STE &gt;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</si>
</sst>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4" borderId="14" xfId="0" applyFill="1" applyBorder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3" fillId="5" borderId="14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4" xfId="0" applyFill="1" applyBorder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0" fillId="6" borderId="14" xfId="0" applyFill="1" applyBorder="1" applyAlignment="1">
      <alignment horizontal="left" vertical="center"/>
    </xf>
    <xf numFmtId="0" fontId="0" fillId="6" borderId="0" xfId="0" applyFill="1" applyAlignment="1">
      <alignment horizontal="center" vertical="center"/>
    </xf>
    <xf numFmtId="0" fontId="3" fillId="8" borderId="14" xfId="0" applyFont="1" applyFill="1" applyBorder="1" applyAlignment="1">
      <alignment horizontal="left" vertical="center"/>
    </xf>
    <xf numFmtId="0" fontId="3" fillId="8" borderId="0" xfId="0" applyFont="1" applyFill="1" applyAlignment="1">
      <alignment horizontal="center" vertical="center"/>
    </xf>
    <xf numFmtId="0" fontId="0" fillId="0" borderId="1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B2B2B-6C26-42FC-AD94-0C68619FE3A4}">
  <dimension ref="A2:AK89"/>
  <sheetViews>
    <sheetView tabSelected="1" topLeftCell="A2" zoomScale="70" zoomScaleNormal="70" workbookViewId="0">
      <selection activeCell="P24" sqref="P24"/>
    </sheetView>
  </sheetViews>
  <sheetFormatPr defaultRowHeight="14.4" x14ac:dyDescent="0.3"/>
  <cols>
    <col min="1" max="1" width="25.5546875" style="2" bestFit="1" customWidth="1"/>
    <col min="2" max="2" width="25.21875" style="2" bestFit="1" customWidth="1"/>
    <col min="3" max="5" width="14.33203125" style="2" bestFit="1" customWidth="1"/>
    <col min="6" max="32" width="8.88671875" style="2"/>
    <col min="33" max="33" width="20.88671875" style="2" bestFit="1" customWidth="1"/>
    <col min="34" max="34" width="8.88671875" style="2"/>
    <col min="35" max="35" width="75.5546875" style="2" customWidth="1"/>
    <col min="36" max="36" width="8.88671875" style="2"/>
    <col min="37" max="37" width="74.33203125" style="2" customWidth="1"/>
    <col min="38" max="16384" width="8.88671875" style="2"/>
  </cols>
  <sheetData>
    <row r="2" spans="1:37" ht="21" x14ac:dyDescent="0.3">
      <c r="B2" s="20" t="s">
        <v>1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</row>
    <row r="3" spans="1:37" ht="15" thickBot="1" x14ac:dyDescent="0.35">
      <c r="A3" s="1"/>
    </row>
    <row r="4" spans="1:37" ht="21.6" thickBot="1" x14ac:dyDescent="0.35">
      <c r="B4" s="22" t="s">
        <v>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4"/>
      <c r="AI4" s="10" t="s">
        <v>0</v>
      </c>
      <c r="AK4" s="10" t="s">
        <v>5</v>
      </c>
    </row>
    <row r="5" spans="1:37" x14ac:dyDescent="0.3">
      <c r="B5" s="52" t="s">
        <v>1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4"/>
    </row>
    <row r="6" spans="1:37" x14ac:dyDescent="0.3">
      <c r="B6" s="15" t="s">
        <v>2</v>
      </c>
      <c r="E6" s="8" t="s">
        <v>7</v>
      </c>
      <c r="F6" s="3">
        <v>1</v>
      </c>
      <c r="G6" s="3">
        <v>2</v>
      </c>
      <c r="H6" s="3">
        <v>3</v>
      </c>
      <c r="I6" s="3">
        <v>4</v>
      </c>
      <c r="J6" s="3">
        <v>5</v>
      </c>
      <c r="K6" s="3">
        <v>6</v>
      </c>
      <c r="L6" s="3">
        <v>7</v>
      </c>
      <c r="M6" s="3">
        <v>8</v>
      </c>
      <c r="N6" s="3">
        <v>9</v>
      </c>
      <c r="O6" s="3">
        <v>10</v>
      </c>
      <c r="P6" s="3">
        <v>11</v>
      </c>
      <c r="Q6" s="3">
        <v>12</v>
      </c>
      <c r="R6" s="3">
        <v>13</v>
      </c>
      <c r="S6" s="3">
        <v>14</v>
      </c>
      <c r="T6" s="3">
        <v>15</v>
      </c>
      <c r="U6" s="3">
        <v>16</v>
      </c>
      <c r="V6" s="3">
        <v>17</v>
      </c>
      <c r="W6" s="3">
        <v>18</v>
      </c>
      <c r="X6" s="25">
        <v>19</v>
      </c>
      <c r="Y6" s="26">
        <v>20</v>
      </c>
      <c r="Z6" s="26">
        <v>21</v>
      </c>
      <c r="AA6" s="27">
        <v>22</v>
      </c>
      <c r="AC6" s="16"/>
      <c r="AG6" s="20" t="s">
        <v>1</v>
      </c>
      <c r="AI6" s="21" t="e" vm="1">
        <v>#VALUE!</v>
      </c>
      <c r="AK6" s="21" t="e" vm="2">
        <v>#VALUE!</v>
      </c>
    </row>
    <row r="7" spans="1:37" x14ac:dyDescent="0.3">
      <c r="B7" s="15" t="s">
        <v>3</v>
      </c>
      <c r="E7" s="9" t="s">
        <v>4</v>
      </c>
      <c r="F7" s="5">
        <v>2.8810331479222397E-4</v>
      </c>
      <c r="G7" s="6">
        <v>8.0707926765897001E-5</v>
      </c>
      <c r="H7" s="5">
        <v>1.00555640690067E-4</v>
      </c>
      <c r="I7" s="5">
        <v>6.9185352887871196E-4</v>
      </c>
      <c r="J7" s="5">
        <v>3.1086990894319802E-4</v>
      </c>
      <c r="K7" s="5">
        <v>3.0150111635289398E-4</v>
      </c>
      <c r="L7" s="5">
        <v>4.3015334038331503E-4</v>
      </c>
      <c r="M7" s="6">
        <v>7.7104415843069505E-5</v>
      </c>
      <c r="N7" s="5">
        <v>1.21273799649996E-4</v>
      </c>
      <c r="O7" s="6">
        <v>9.7518947455691197E-5</v>
      </c>
      <c r="P7" s="5">
        <v>1.9475035841427901E-4</v>
      </c>
      <c r="Q7" s="5">
        <v>6.2732404250898099E-4</v>
      </c>
      <c r="R7" s="5">
        <v>1.00913137405445E-4</v>
      </c>
      <c r="S7" s="5">
        <v>1.21430930300238E-4</v>
      </c>
      <c r="T7" s="5">
        <v>1.85961675953898E-4</v>
      </c>
      <c r="U7" s="6">
        <v>9.6631012365364893E-5</v>
      </c>
      <c r="V7" s="5">
        <v>1.20279944789204E-4</v>
      </c>
      <c r="W7" s="5">
        <v>3.6884774400160698E-2</v>
      </c>
      <c r="X7" s="28">
        <v>0.90042829744970498</v>
      </c>
      <c r="Y7" s="29">
        <v>1</v>
      </c>
      <c r="Z7" s="29">
        <v>0.95165167785757299</v>
      </c>
      <c r="AA7" s="30">
        <v>0.90433454652546497</v>
      </c>
      <c r="AC7" s="16"/>
      <c r="AG7" s="20"/>
      <c r="AI7" s="21"/>
      <c r="AK7" s="21"/>
    </row>
    <row r="8" spans="1:37" x14ac:dyDescent="0.3">
      <c r="B8" s="33" t="s">
        <v>10</v>
      </c>
      <c r="C8" s="34">
        <f>MAX(F7:W7,L10:AB10)</f>
        <v>5.5917608912095997E-2</v>
      </c>
      <c r="AC8" s="16"/>
      <c r="AG8" s="20"/>
      <c r="AI8" s="21"/>
      <c r="AK8" s="21"/>
    </row>
    <row r="9" spans="1:37" x14ac:dyDescent="0.3">
      <c r="B9" s="31" t="s">
        <v>11</v>
      </c>
      <c r="C9" s="32">
        <f>MIN(X7:AA7,F10:K10)</f>
        <v>0.39976369909262199</v>
      </c>
      <c r="F9" s="25">
        <v>23</v>
      </c>
      <c r="G9" s="26">
        <v>24</v>
      </c>
      <c r="H9" s="26">
        <v>25</v>
      </c>
      <c r="I9" s="26">
        <v>26</v>
      </c>
      <c r="J9" s="26">
        <v>27</v>
      </c>
      <c r="K9" s="27">
        <v>28</v>
      </c>
      <c r="L9" s="3">
        <v>29</v>
      </c>
      <c r="M9" s="3">
        <v>30</v>
      </c>
      <c r="N9" s="3">
        <v>31</v>
      </c>
      <c r="O9" s="3">
        <v>32</v>
      </c>
      <c r="P9" s="3">
        <v>33</v>
      </c>
      <c r="Q9" s="3">
        <v>34</v>
      </c>
      <c r="R9" s="3">
        <v>35</v>
      </c>
      <c r="S9" s="3">
        <v>36</v>
      </c>
      <c r="T9" s="3">
        <v>37</v>
      </c>
      <c r="U9" s="3">
        <v>38</v>
      </c>
      <c r="V9" s="3">
        <v>39</v>
      </c>
      <c r="W9" s="3">
        <v>40</v>
      </c>
      <c r="X9" s="3">
        <v>41</v>
      </c>
      <c r="Y9" s="3">
        <v>42</v>
      </c>
      <c r="Z9" s="3">
        <v>43</v>
      </c>
      <c r="AA9" s="3">
        <v>44</v>
      </c>
      <c r="AB9" s="11">
        <v>45</v>
      </c>
      <c r="AC9" s="16"/>
      <c r="AG9" s="20"/>
      <c r="AI9" s="21"/>
      <c r="AK9" s="21"/>
    </row>
    <row r="10" spans="1:37" x14ac:dyDescent="0.3">
      <c r="B10" s="35" t="s">
        <v>9</v>
      </c>
      <c r="C10" s="36">
        <f>MAX(C8:C9)</f>
        <v>0.39976369909262199</v>
      </c>
      <c r="F10" s="28">
        <v>0.80863940039517002</v>
      </c>
      <c r="G10" s="29">
        <v>0.75814490387947397</v>
      </c>
      <c r="H10" s="29">
        <v>0.87105316915289599</v>
      </c>
      <c r="I10" s="29">
        <v>0.70460763654531999</v>
      </c>
      <c r="J10" s="29">
        <v>0.589427895209372</v>
      </c>
      <c r="K10" s="30">
        <v>0.39976369909262199</v>
      </c>
      <c r="L10" s="5">
        <v>5.5917608912095997E-2</v>
      </c>
      <c r="M10" s="5">
        <v>1.3947317947222201E-2</v>
      </c>
      <c r="N10" s="5">
        <v>4.9988056314580103E-3</v>
      </c>
      <c r="O10" s="5">
        <v>6.9140620324307199E-4</v>
      </c>
      <c r="P10" s="5">
        <v>1.8514607972926599E-4</v>
      </c>
      <c r="Q10" s="5">
        <v>1.56946375027178E-4</v>
      </c>
      <c r="R10" s="5">
        <v>7.4543885846305895E-4</v>
      </c>
      <c r="S10" s="5">
        <v>4.2302257517557801E-4</v>
      </c>
      <c r="T10" s="5">
        <v>1.4901512500195701E-4</v>
      </c>
      <c r="U10" s="5">
        <v>4.0912413829294298E-4</v>
      </c>
      <c r="V10" s="5">
        <v>3.6277381464156101E-4</v>
      </c>
      <c r="W10" s="5">
        <v>2.2434786827747001E-4</v>
      </c>
      <c r="X10" s="5">
        <v>3.0597857032239298E-4</v>
      </c>
      <c r="Y10" s="5">
        <v>2.5266972352066402E-4</v>
      </c>
      <c r="Z10" s="5">
        <v>1.51506968056419E-4</v>
      </c>
      <c r="AA10" s="5">
        <v>1.24701290663647E-4</v>
      </c>
      <c r="AB10" s="12">
        <v>1.4931945195144599E-4</v>
      </c>
      <c r="AC10" s="16"/>
      <c r="AG10" s="20"/>
      <c r="AI10" s="21"/>
      <c r="AK10" s="21"/>
    </row>
    <row r="11" spans="1:37" ht="15" thickBot="1" x14ac:dyDescent="0.35">
      <c r="B11" s="17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9"/>
      <c r="AG11" s="20"/>
      <c r="AI11" s="21"/>
      <c r="AK11" s="21"/>
    </row>
    <row r="12" spans="1:37" x14ac:dyDescent="0.3">
      <c r="AG12" s="20"/>
      <c r="AI12" s="21"/>
      <c r="AK12" s="21"/>
    </row>
    <row r="13" spans="1:37" x14ac:dyDescent="0.3">
      <c r="AG13" s="20"/>
      <c r="AI13" s="21"/>
      <c r="AK13" s="21"/>
    </row>
    <row r="14" spans="1:37" ht="15" thickBot="1" x14ac:dyDescent="0.35">
      <c r="AG14" s="20"/>
      <c r="AI14" s="21"/>
      <c r="AK14" s="21"/>
    </row>
    <row r="15" spans="1:37" ht="21.6" thickBot="1" x14ac:dyDescent="0.35">
      <c r="B15" s="37" t="s">
        <v>5</v>
      </c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9"/>
      <c r="AG15" s="20"/>
      <c r="AI15" s="21"/>
      <c r="AK15" s="21"/>
    </row>
    <row r="16" spans="1:37" x14ac:dyDescent="0.3">
      <c r="B16" s="52" t="s">
        <v>1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4"/>
      <c r="AG16" s="20"/>
      <c r="AI16" s="21"/>
      <c r="AK16" s="21"/>
    </row>
    <row r="17" spans="2:37" x14ac:dyDescent="0.3">
      <c r="B17" s="15" t="s">
        <v>2</v>
      </c>
      <c r="E17" s="8" t="s">
        <v>7</v>
      </c>
      <c r="F17" s="3">
        <v>1</v>
      </c>
      <c r="G17" s="3">
        <v>2</v>
      </c>
      <c r="H17" s="3">
        <v>3</v>
      </c>
      <c r="I17" s="3">
        <v>4</v>
      </c>
      <c r="J17" s="3">
        <v>5</v>
      </c>
      <c r="K17" s="3">
        <v>6</v>
      </c>
      <c r="L17" s="3">
        <v>7</v>
      </c>
      <c r="M17" s="3">
        <v>8</v>
      </c>
      <c r="N17" s="3">
        <v>9</v>
      </c>
      <c r="O17" s="3">
        <v>10</v>
      </c>
      <c r="P17" s="3">
        <v>11</v>
      </c>
      <c r="Q17" s="3">
        <v>12</v>
      </c>
      <c r="R17" s="3">
        <v>13</v>
      </c>
      <c r="S17" s="3">
        <v>14</v>
      </c>
      <c r="T17" s="3">
        <v>15</v>
      </c>
      <c r="U17" s="40">
        <v>16</v>
      </c>
      <c r="V17" s="41">
        <v>17</v>
      </c>
      <c r="W17" s="41">
        <v>18</v>
      </c>
      <c r="X17" s="41">
        <v>19</v>
      </c>
      <c r="Y17" s="41">
        <v>20</v>
      </c>
      <c r="Z17" s="42">
        <v>21</v>
      </c>
      <c r="AC17" s="16"/>
      <c r="AG17" s="20"/>
      <c r="AI17" s="21"/>
      <c r="AK17" s="21"/>
    </row>
    <row r="18" spans="2:37" x14ac:dyDescent="0.3">
      <c r="B18" s="15" t="s">
        <v>6</v>
      </c>
      <c r="E18" s="9" t="s">
        <v>4</v>
      </c>
      <c r="F18" s="5">
        <v>2.3829812619882299E-3</v>
      </c>
      <c r="G18" s="5">
        <v>9.0209380046034099E-4</v>
      </c>
      <c r="H18" s="5">
        <v>8.8379747643368902E-4</v>
      </c>
      <c r="I18" s="5">
        <v>2.56561699490555E-3</v>
      </c>
      <c r="J18" s="5">
        <v>2.7297359661573599E-3</v>
      </c>
      <c r="K18" s="5">
        <v>2.9234124756732098E-3</v>
      </c>
      <c r="L18" s="5">
        <v>1.68113616179135E-3</v>
      </c>
      <c r="M18" s="5">
        <v>1.5502371427180599E-3</v>
      </c>
      <c r="N18" s="5">
        <v>1.2291508270414E-3</v>
      </c>
      <c r="O18" s="5">
        <v>1.2079573226180999E-3</v>
      </c>
      <c r="P18" s="5">
        <v>1.4816054584087901E-3</v>
      </c>
      <c r="Q18" s="5">
        <v>1.63546463212551E-3</v>
      </c>
      <c r="R18" s="5">
        <v>3.1923621406467302E-3</v>
      </c>
      <c r="S18" s="5">
        <v>1.0520291842050799E-3</v>
      </c>
      <c r="T18" s="5">
        <v>1.31187162558392E-3</v>
      </c>
      <c r="U18" s="43">
        <v>0.11134409060193499</v>
      </c>
      <c r="V18" s="44">
        <v>0.54718648733900999</v>
      </c>
      <c r="W18" s="44">
        <v>0.98506204655072305</v>
      </c>
      <c r="X18" s="44">
        <v>1</v>
      </c>
      <c r="Y18" s="44">
        <v>0.99644747109941301</v>
      </c>
      <c r="Z18" s="45">
        <v>0.87916200039548997</v>
      </c>
      <c r="AC18" s="16"/>
      <c r="AG18" s="20"/>
      <c r="AI18" s="21"/>
      <c r="AK18" s="21"/>
    </row>
    <row r="19" spans="2:37" x14ac:dyDescent="0.3">
      <c r="B19" s="48" t="s">
        <v>10</v>
      </c>
      <c r="C19" s="49">
        <f>MAX(F18:T18,L21:Z21)</f>
        <v>1.4521008251780701E-2</v>
      </c>
      <c r="AC19" s="16"/>
      <c r="AG19" s="20"/>
      <c r="AI19" s="21"/>
      <c r="AK19" s="21"/>
    </row>
    <row r="20" spans="2:37" x14ac:dyDescent="0.3">
      <c r="B20" s="46" t="s">
        <v>11</v>
      </c>
      <c r="C20" s="47">
        <f>MIN(U18:Z18,F21:K21)</f>
        <v>0.10436396425804</v>
      </c>
      <c r="F20" s="40">
        <v>22</v>
      </c>
      <c r="G20" s="41">
        <v>23</v>
      </c>
      <c r="H20" s="41">
        <v>24</v>
      </c>
      <c r="I20" s="41">
        <v>25</v>
      </c>
      <c r="J20" s="41">
        <v>26</v>
      </c>
      <c r="K20" s="42">
        <v>27</v>
      </c>
      <c r="L20" s="3">
        <v>28</v>
      </c>
      <c r="M20" s="3">
        <v>29</v>
      </c>
      <c r="N20" s="3">
        <v>30</v>
      </c>
      <c r="O20" s="3">
        <v>31</v>
      </c>
      <c r="P20" s="3">
        <v>32</v>
      </c>
      <c r="Q20" s="3">
        <v>33</v>
      </c>
      <c r="R20" s="3">
        <v>34</v>
      </c>
      <c r="S20" s="3">
        <v>35</v>
      </c>
      <c r="T20" s="3">
        <v>36</v>
      </c>
      <c r="U20" s="3">
        <v>37</v>
      </c>
      <c r="V20" s="3">
        <v>38</v>
      </c>
      <c r="W20" s="3">
        <v>39</v>
      </c>
      <c r="X20" s="3">
        <v>40</v>
      </c>
      <c r="Y20" s="3">
        <v>41</v>
      </c>
      <c r="Z20" s="4">
        <v>42</v>
      </c>
      <c r="AC20" s="16"/>
      <c r="AG20" s="20"/>
      <c r="AI20" s="21"/>
      <c r="AK20" s="21"/>
    </row>
    <row r="21" spans="2:37" x14ac:dyDescent="0.3">
      <c r="B21" s="50" t="s">
        <v>9</v>
      </c>
      <c r="C21" s="51">
        <f>MAX(C19:C20)</f>
        <v>0.10436396425804</v>
      </c>
      <c r="F21" s="43">
        <v>0.52848457695148299</v>
      </c>
      <c r="G21" s="44">
        <v>0.44187386655296101</v>
      </c>
      <c r="H21" s="44">
        <v>0.480569284989041</v>
      </c>
      <c r="I21" s="44">
        <v>0.19711709703431199</v>
      </c>
      <c r="J21" s="44">
        <v>0.13427740853738501</v>
      </c>
      <c r="K21" s="45">
        <v>0.10436396425804</v>
      </c>
      <c r="L21" s="5">
        <v>1.4521008251780701E-2</v>
      </c>
      <c r="M21" s="5">
        <v>6.3143353940914504E-3</v>
      </c>
      <c r="N21" s="5">
        <v>2.0382514349876202E-3</v>
      </c>
      <c r="O21" s="5">
        <v>1.70591020329181E-3</v>
      </c>
      <c r="P21" s="5">
        <v>2.6586133365287998E-3</v>
      </c>
      <c r="Q21" s="5">
        <v>1.8497646573127199E-3</v>
      </c>
      <c r="R21" s="5">
        <v>2.88817394454443E-3</v>
      </c>
      <c r="S21" s="5">
        <v>2.3465744113733999E-3</v>
      </c>
      <c r="T21" s="5">
        <v>2.6554673765111299E-3</v>
      </c>
      <c r="U21" s="5">
        <v>1.05220238520705E-3</v>
      </c>
      <c r="V21" s="5">
        <v>1.3245058514006101E-3</v>
      </c>
      <c r="W21" s="5">
        <v>1.00130333439074E-3</v>
      </c>
      <c r="X21" s="5">
        <v>8.4535315221383395E-4</v>
      </c>
      <c r="Y21" s="5">
        <v>1.1510088331692201E-3</v>
      </c>
      <c r="Z21" s="7">
        <v>8.1890378465792203E-4</v>
      </c>
      <c r="AC21" s="16"/>
      <c r="AG21" s="20"/>
      <c r="AI21" s="21"/>
      <c r="AK21" s="21"/>
    </row>
    <row r="22" spans="2:37" ht="15" thickBot="1" x14ac:dyDescent="0.35">
      <c r="B22" s="17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9"/>
      <c r="AG22" s="20"/>
      <c r="AI22" s="21"/>
      <c r="AK22" s="21"/>
    </row>
    <row r="23" spans="2:37" ht="16.2" customHeight="1" x14ac:dyDescent="0.3">
      <c r="AG23" s="20"/>
      <c r="AI23" s="21"/>
      <c r="AK23" s="21"/>
    </row>
    <row r="24" spans="2:37" ht="19.8" customHeight="1" x14ac:dyDescent="0.3">
      <c r="AG24" s="20"/>
      <c r="AI24" s="21"/>
      <c r="AK24" s="21"/>
    </row>
    <row r="25" spans="2:37" x14ac:dyDescent="0.3">
      <c r="AG25" s="20"/>
      <c r="AI25" s="21"/>
      <c r="AK25" s="21"/>
    </row>
    <row r="27" spans="2:37" x14ac:dyDescent="0.3">
      <c r="AG27" s="20" t="s">
        <v>8</v>
      </c>
      <c r="AI27" s="21" t="e" vm="3">
        <v>#VALUE!</v>
      </c>
      <c r="AK27" s="21" t="e" vm="4">
        <v>#VALUE!</v>
      </c>
    </row>
    <row r="28" spans="2:37" x14ac:dyDescent="0.3">
      <c r="AG28" s="20"/>
      <c r="AI28" s="21"/>
      <c r="AK28" s="21"/>
    </row>
    <row r="29" spans="2:37" x14ac:dyDescent="0.3">
      <c r="AG29" s="20"/>
      <c r="AI29" s="21"/>
      <c r="AK29" s="21"/>
    </row>
    <row r="30" spans="2:37" x14ac:dyDescent="0.3">
      <c r="AG30" s="20"/>
      <c r="AI30" s="21"/>
      <c r="AK30" s="21"/>
    </row>
    <row r="31" spans="2:37" x14ac:dyDescent="0.3">
      <c r="AG31" s="20"/>
      <c r="AI31" s="21"/>
      <c r="AK31" s="21"/>
    </row>
    <row r="32" spans="2:37" x14ac:dyDescent="0.3">
      <c r="AG32" s="20"/>
      <c r="AI32" s="21"/>
      <c r="AK32" s="21"/>
    </row>
    <row r="33" spans="33:37" x14ac:dyDescent="0.3">
      <c r="AG33" s="20"/>
      <c r="AI33" s="21"/>
      <c r="AK33" s="21"/>
    </row>
    <row r="34" spans="33:37" x14ac:dyDescent="0.3">
      <c r="AG34" s="20"/>
      <c r="AI34" s="21"/>
      <c r="AK34" s="21"/>
    </row>
    <row r="35" spans="33:37" x14ac:dyDescent="0.3">
      <c r="AG35" s="20"/>
      <c r="AI35" s="21"/>
      <c r="AK35" s="21"/>
    </row>
    <row r="36" spans="33:37" x14ac:dyDescent="0.3">
      <c r="AG36" s="20"/>
      <c r="AI36" s="21"/>
      <c r="AK36" s="21"/>
    </row>
    <row r="37" spans="33:37" x14ac:dyDescent="0.3">
      <c r="AG37" s="20"/>
      <c r="AI37" s="21"/>
      <c r="AK37" s="21"/>
    </row>
    <row r="38" spans="33:37" x14ac:dyDescent="0.3">
      <c r="AG38" s="20"/>
      <c r="AI38" s="21"/>
      <c r="AK38" s="21"/>
    </row>
    <row r="39" spans="33:37" x14ac:dyDescent="0.3">
      <c r="AG39" s="20"/>
      <c r="AI39" s="21"/>
      <c r="AK39" s="21"/>
    </row>
    <row r="40" spans="33:37" x14ac:dyDescent="0.3">
      <c r="AG40" s="20"/>
      <c r="AI40" s="21"/>
      <c r="AK40" s="21"/>
    </row>
    <row r="41" spans="33:37" x14ac:dyDescent="0.3">
      <c r="AG41" s="20"/>
      <c r="AI41" s="21"/>
      <c r="AK41" s="21"/>
    </row>
    <row r="42" spans="33:37" x14ac:dyDescent="0.3">
      <c r="AG42" s="20"/>
      <c r="AI42" s="21"/>
      <c r="AK42" s="21"/>
    </row>
    <row r="43" spans="33:37" x14ac:dyDescent="0.3">
      <c r="AG43" s="20"/>
      <c r="AI43" s="21"/>
      <c r="AK43" s="21"/>
    </row>
    <row r="44" spans="33:37" x14ac:dyDescent="0.3">
      <c r="AG44" s="20"/>
      <c r="AI44" s="21"/>
      <c r="AK44" s="21"/>
    </row>
    <row r="45" spans="33:37" x14ac:dyDescent="0.3">
      <c r="AG45" s="20"/>
      <c r="AI45" s="21"/>
      <c r="AK45" s="21"/>
    </row>
    <row r="46" spans="33:37" ht="27" customHeight="1" x14ac:dyDescent="0.3">
      <c r="AG46" s="20"/>
      <c r="AI46" s="21"/>
      <c r="AK46" s="21"/>
    </row>
    <row r="49" spans="33:37" x14ac:dyDescent="0.3">
      <c r="AG49" s="20" t="s">
        <v>12</v>
      </c>
      <c r="AI49" s="21" t="e" vm="5">
        <v>#VALUE!</v>
      </c>
      <c r="AK49" s="21" t="e" vm="6">
        <v>#VALUE!</v>
      </c>
    </row>
    <row r="50" spans="33:37" x14ac:dyDescent="0.3">
      <c r="AG50" s="21"/>
      <c r="AI50" s="21"/>
      <c r="AK50" s="21"/>
    </row>
    <row r="51" spans="33:37" x14ac:dyDescent="0.3">
      <c r="AG51" s="21"/>
      <c r="AI51" s="21"/>
      <c r="AK51" s="21"/>
    </row>
    <row r="52" spans="33:37" x14ac:dyDescent="0.3">
      <c r="AG52" s="21"/>
      <c r="AI52" s="21"/>
      <c r="AK52" s="21"/>
    </row>
    <row r="53" spans="33:37" x14ac:dyDescent="0.3">
      <c r="AG53" s="21"/>
      <c r="AI53" s="21"/>
      <c r="AK53" s="21"/>
    </row>
    <row r="54" spans="33:37" x14ac:dyDescent="0.3">
      <c r="AG54" s="21"/>
      <c r="AI54" s="21"/>
      <c r="AK54" s="21"/>
    </row>
    <row r="55" spans="33:37" x14ac:dyDescent="0.3">
      <c r="AG55" s="21"/>
      <c r="AI55" s="21"/>
      <c r="AK55" s="21"/>
    </row>
    <row r="56" spans="33:37" x14ac:dyDescent="0.3">
      <c r="AG56" s="21"/>
      <c r="AI56" s="21"/>
      <c r="AK56" s="21"/>
    </row>
    <row r="57" spans="33:37" x14ac:dyDescent="0.3">
      <c r="AG57" s="21"/>
      <c r="AI57" s="21"/>
      <c r="AK57" s="21"/>
    </row>
    <row r="58" spans="33:37" x14ac:dyDescent="0.3">
      <c r="AG58" s="21"/>
      <c r="AI58" s="21"/>
      <c r="AK58" s="21"/>
    </row>
    <row r="59" spans="33:37" x14ac:dyDescent="0.3">
      <c r="AG59" s="21"/>
      <c r="AI59" s="21"/>
      <c r="AK59" s="21"/>
    </row>
    <row r="60" spans="33:37" x14ac:dyDescent="0.3">
      <c r="AG60" s="21"/>
      <c r="AI60" s="21"/>
      <c r="AK60" s="21"/>
    </row>
    <row r="61" spans="33:37" x14ac:dyDescent="0.3">
      <c r="AG61" s="21"/>
      <c r="AI61" s="21"/>
      <c r="AK61" s="21"/>
    </row>
    <row r="62" spans="33:37" x14ac:dyDescent="0.3">
      <c r="AG62" s="21"/>
      <c r="AI62" s="21"/>
      <c r="AK62" s="21"/>
    </row>
    <row r="63" spans="33:37" x14ac:dyDescent="0.3">
      <c r="AG63" s="21"/>
      <c r="AI63" s="21"/>
      <c r="AK63" s="21"/>
    </row>
    <row r="64" spans="33:37" x14ac:dyDescent="0.3">
      <c r="AG64" s="21"/>
      <c r="AI64" s="21"/>
      <c r="AK64" s="21"/>
    </row>
    <row r="65" spans="33:37" x14ac:dyDescent="0.3">
      <c r="AG65" s="21"/>
      <c r="AI65" s="21"/>
      <c r="AK65" s="21"/>
    </row>
    <row r="66" spans="33:37" x14ac:dyDescent="0.3">
      <c r="AG66" s="21"/>
      <c r="AI66" s="21"/>
      <c r="AK66" s="21"/>
    </row>
    <row r="67" spans="33:37" x14ac:dyDescent="0.3">
      <c r="AG67" s="21"/>
      <c r="AI67" s="21"/>
      <c r="AK67" s="21"/>
    </row>
    <row r="68" spans="33:37" ht="86.4" customHeight="1" x14ac:dyDescent="0.3">
      <c r="AG68" s="21"/>
      <c r="AI68" s="21"/>
      <c r="AK68" s="21"/>
    </row>
    <row r="70" spans="33:37" x14ac:dyDescent="0.3">
      <c r="AG70" s="20" t="s">
        <v>13</v>
      </c>
      <c r="AI70" s="21" t="e" vm="7">
        <v>#VALUE!</v>
      </c>
      <c r="AK70" s="21" t="e" vm="8">
        <v>#VALUE!</v>
      </c>
    </row>
    <row r="71" spans="33:37" x14ac:dyDescent="0.3">
      <c r="AG71" s="21"/>
      <c r="AI71" s="21"/>
      <c r="AK71" s="21"/>
    </row>
    <row r="72" spans="33:37" x14ac:dyDescent="0.3">
      <c r="AG72" s="21"/>
      <c r="AI72" s="21"/>
      <c r="AK72" s="21"/>
    </row>
    <row r="73" spans="33:37" x14ac:dyDescent="0.3">
      <c r="AG73" s="21"/>
      <c r="AI73" s="21"/>
      <c r="AK73" s="21"/>
    </row>
    <row r="74" spans="33:37" x14ac:dyDescent="0.3">
      <c r="AG74" s="21"/>
      <c r="AI74" s="21"/>
      <c r="AK74" s="21"/>
    </row>
    <row r="75" spans="33:37" x14ac:dyDescent="0.3">
      <c r="AG75" s="21"/>
      <c r="AI75" s="21"/>
      <c r="AK75" s="21"/>
    </row>
    <row r="76" spans="33:37" x14ac:dyDescent="0.3">
      <c r="AG76" s="21"/>
      <c r="AI76" s="21"/>
      <c r="AK76" s="21"/>
    </row>
    <row r="77" spans="33:37" x14ac:dyDescent="0.3">
      <c r="AG77" s="21"/>
      <c r="AI77" s="21"/>
      <c r="AK77" s="21"/>
    </row>
    <row r="78" spans="33:37" x14ac:dyDescent="0.3">
      <c r="AG78" s="21"/>
      <c r="AI78" s="21"/>
      <c r="AK78" s="21"/>
    </row>
    <row r="79" spans="33:37" x14ac:dyDescent="0.3">
      <c r="AG79" s="21"/>
      <c r="AI79" s="21"/>
      <c r="AK79" s="21"/>
    </row>
    <row r="80" spans="33:37" x14ac:dyDescent="0.3">
      <c r="AG80" s="21"/>
      <c r="AI80" s="21"/>
      <c r="AK80" s="21"/>
    </row>
    <row r="81" spans="33:37" x14ac:dyDescent="0.3">
      <c r="AG81" s="21"/>
      <c r="AI81" s="21"/>
      <c r="AK81" s="21"/>
    </row>
    <row r="82" spans="33:37" x14ac:dyDescent="0.3">
      <c r="AG82" s="21"/>
      <c r="AI82" s="21"/>
      <c r="AK82" s="21"/>
    </row>
    <row r="83" spans="33:37" x14ac:dyDescent="0.3">
      <c r="AG83" s="21"/>
      <c r="AI83" s="21"/>
      <c r="AK83" s="21"/>
    </row>
    <row r="84" spans="33:37" x14ac:dyDescent="0.3">
      <c r="AG84" s="21"/>
      <c r="AI84" s="21"/>
      <c r="AK84" s="21"/>
    </row>
    <row r="85" spans="33:37" x14ac:dyDescent="0.3">
      <c r="AG85" s="21"/>
      <c r="AI85" s="21"/>
      <c r="AK85" s="21"/>
    </row>
    <row r="86" spans="33:37" x14ac:dyDescent="0.3">
      <c r="AG86" s="21"/>
      <c r="AI86" s="21"/>
      <c r="AK86" s="21"/>
    </row>
    <row r="87" spans="33:37" x14ac:dyDescent="0.3">
      <c r="AG87" s="21"/>
      <c r="AI87" s="21"/>
      <c r="AK87" s="21"/>
    </row>
    <row r="88" spans="33:37" x14ac:dyDescent="0.3">
      <c r="AG88" s="21"/>
      <c r="AI88" s="21"/>
      <c r="AK88" s="21"/>
    </row>
    <row r="89" spans="33:37" ht="90.6" customHeight="1" x14ac:dyDescent="0.3">
      <c r="AG89" s="21"/>
      <c r="AI89" s="21"/>
      <c r="AK89" s="21"/>
    </row>
  </sheetData>
  <mergeCells count="15">
    <mergeCell ref="B2:AC2"/>
    <mergeCell ref="AI49:AI68"/>
    <mergeCell ref="AK49:AK68"/>
    <mergeCell ref="AG49:AG68"/>
    <mergeCell ref="AI70:AI89"/>
    <mergeCell ref="AG70:AG89"/>
    <mergeCell ref="AK70:AK89"/>
    <mergeCell ref="AI27:AI46"/>
    <mergeCell ref="AK27:AK46"/>
    <mergeCell ref="AG6:AG25"/>
    <mergeCell ref="AG27:AG46"/>
    <mergeCell ref="B4:AC4"/>
    <mergeCell ref="B15:AC15"/>
    <mergeCell ref="AI6:AI25"/>
    <mergeCell ref="AK6:AK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Trần Nhật Hạ</dc:creator>
  <cp:lastModifiedBy>Phan Trần Nhật Hạ</cp:lastModifiedBy>
  <dcterms:created xsi:type="dcterms:W3CDTF">2023-11-25T16:07:31Z</dcterms:created>
  <dcterms:modified xsi:type="dcterms:W3CDTF">2023-11-28T01:59:16Z</dcterms:modified>
</cp:coreProperties>
</file>